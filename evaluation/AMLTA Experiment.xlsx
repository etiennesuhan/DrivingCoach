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m200\OneDrive\Desktop\AMLFTA\DrivingCoachRepo\DrivingCoach\evaluation\"/>
    </mc:Choice>
  </mc:AlternateContent>
  <xr:revisionPtr revIDLastSave="0" documentId="13_ncr:1_{67303559-9002-4583-B9A1-E5C98DA381B0}" xr6:coauthVersionLast="47" xr6:coauthVersionMax="47" xr10:uidLastSave="{00000000-0000-0000-0000-000000000000}"/>
  <bookViews>
    <workbookView xWindow="28680" yWindow="-120" windowWidth="29040" windowHeight="15720" xr2:uid="{E8119279-4CFB-428F-BC2B-7CF76D7BCF0B}"/>
  </bookViews>
  <sheets>
    <sheet name="Experiment Data" sheetId="2" r:id="rId1"/>
    <sheet name="Tabelle1" sheetId="1" r:id="rId2"/>
  </sheets>
  <definedNames>
    <definedName name="_xlnm._FilterDatabase" localSheetId="0" hidden="1">'Experiment Data'!$E$5:$I$5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8" i="2" l="1"/>
  <c r="V127" i="2"/>
  <c r="V128" i="2"/>
  <c r="V129" i="2"/>
  <c r="V130" i="2"/>
  <c r="V132" i="2"/>
  <c r="V133" i="2"/>
  <c r="V134" i="2"/>
  <c r="V135" i="2"/>
  <c r="V140" i="2"/>
  <c r="V138" i="2"/>
  <c r="V139" i="2"/>
  <c r="V137" i="2"/>
  <c r="X138" i="2" s="1"/>
  <c r="V170" i="2"/>
  <c r="V165" i="2"/>
  <c r="V160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27" i="2"/>
  <c r="K28" i="2"/>
  <c r="K29" i="2"/>
  <c r="K30" i="2"/>
  <c r="K31" i="2"/>
  <c r="K32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7" i="2"/>
  <c r="K8" i="2"/>
  <c r="K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" i="2"/>
  <c r="O307" i="2" a="1"/>
  <c r="O307" i="2"/>
  <c r="N307" i="2" s="1"/>
  <c r="P307" i="2" a="1"/>
  <c r="P307" i="2"/>
  <c r="Q307" i="2"/>
  <c r="R307" i="2" a="1"/>
  <c r="R307" i="2"/>
  <c r="S307" i="2" a="1"/>
  <c r="S307" i="2"/>
  <c r="O308" i="2" a="1"/>
  <c r="O308" i="2"/>
  <c r="N308" i="2" s="1"/>
  <c r="P308" i="2" a="1"/>
  <c r="P308" i="2"/>
  <c r="Q308" i="2"/>
  <c r="R308" i="2" a="1"/>
  <c r="R308" i="2"/>
  <c r="S308" i="2" a="1"/>
  <c r="S308" i="2"/>
  <c r="O309" i="2" a="1"/>
  <c r="O309" i="2"/>
  <c r="N309" i="2" s="1"/>
  <c r="P309" i="2" a="1"/>
  <c r="P309" i="2"/>
  <c r="Q309" i="2"/>
  <c r="R309" i="2" a="1"/>
  <c r="R309" i="2"/>
  <c r="S309" i="2" a="1"/>
  <c r="S309" i="2"/>
  <c r="O310" i="2" a="1"/>
  <c r="O310" i="2"/>
  <c r="N310" i="2" s="1"/>
  <c r="P310" i="2" a="1"/>
  <c r="P310" i="2"/>
  <c r="Q310" i="2"/>
  <c r="R310" i="2" a="1"/>
  <c r="R310" i="2"/>
  <c r="S310" i="2" a="1"/>
  <c r="S310" i="2"/>
  <c r="O311" i="2" a="1"/>
  <c r="O311" i="2"/>
  <c r="N311" i="2" s="1"/>
  <c r="P311" i="2" a="1"/>
  <c r="P311" i="2"/>
  <c r="Q311" i="2"/>
  <c r="R311" i="2" a="1"/>
  <c r="R311" i="2"/>
  <c r="S311" i="2" a="1"/>
  <c r="S311" i="2"/>
  <c r="O312" i="2" a="1"/>
  <c r="O312" i="2"/>
  <c r="N312" i="2" s="1"/>
  <c r="P312" i="2" a="1"/>
  <c r="P312" i="2"/>
  <c r="Q312" i="2"/>
  <c r="R312" i="2" a="1"/>
  <c r="R312" i="2"/>
  <c r="S312" i="2" a="1"/>
  <c r="S312" i="2"/>
  <c r="O313" i="2" a="1"/>
  <c r="O313" i="2"/>
  <c r="N313" i="2" s="1"/>
  <c r="P313" i="2" a="1"/>
  <c r="P313" i="2"/>
  <c r="Q313" i="2"/>
  <c r="R313" i="2" a="1"/>
  <c r="R313" i="2"/>
  <c r="S313" i="2" a="1"/>
  <c r="S313" i="2"/>
  <c r="O314" i="2" a="1"/>
  <c r="O314" i="2"/>
  <c r="N314" i="2" s="1"/>
  <c r="P314" i="2" a="1"/>
  <c r="P314" i="2"/>
  <c r="Q314" i="2"/>
  <c r="R314" i="2" a="1"/>
  <c r="R314" i="2"/>
  <c r="S314" i="2" a="1"/>
  <c r="S314" i="2"/>
  <c r="O315" i="2" a="1"/>
  <c r="O315" i="2"/>
  <c r="N315" i="2" s="1"/>
  <c r="P315" i="2" a="1"/>
  <c r="P315" i="2"/>
  <c r="Q315" i="2"/>
  <c r="R315" i="2" a="1"/>
  <c r="R315" i="2"/>
  <c r="S315" i="2" a="1"/>
  <c r="S315" i="2"/>
  <c r="O316" i="2" a="1"/>
  <c r="O316" i="2"/>
  <c r="N316" i="2" s="1"/>
  <c r="P316" i="2" a="1"/>
  <c r="P316" i="2"/>
  <c r="Q316" i="2"/>
  <c r="R316" i="2" a="1"/>
  <c r="R316" i="2"/>
  <c r="S316" i="2" a="1"/>
  <c r="S316" i="2"/>
  <c r="O317" i="2" a="1"/>
  <c r="O317" i="2"/>
  <c r="N317" i="2" s="1"/>
  <c r="P317" i="2" a="1"/>
  <c r="P317" i="2"/>
  <c r="Q317" i="2"/>
  <c r="R317" i="2" a="1"/>
  <c r="R317" i="2"/>
  <c r="S317" i="2" a="1"/>
  <c r="S317" i="2"/>
  <c r="O318" i="2" a="1"/>
  <c r="O318" i="2"/>
  <c r="N318" i="2" s="1"/>
  <c r="P318" i="2" a="1"/>
  <c r="P318" i="2"/>
  <c r="Q318" i="2"/>
  <c r="R318" i="2" a="1"/>
  <c r="R318" i="2"/>
  <c r="S318" i="2" a="1"/>
  <c r="S318" i="2"/>
  <c r="O319" i="2" a="1"/>
  <c r="O319" i="2"/>
  <c r="N319" i="2" s="1"/>
  <c r="P319" i="2" a="1"/>
  <c r="P319" i="2"/>
  <c r="Q319" i="2"/>
  <c r="R319" i="2" a="1"/>
  <c r="R319" i="2"/>
  <c r="S319" i="2" a="1"/>
  <c r="S319" i="2"/>
  <c r="O320" i="2" a="1"/>
  <c r="O320" i="2"/>
  <c r="N320" i="2" s="1"/>
  <c r="P320" i="2" a="1"/>
  <c r="P320" i="2"/>
  <c r="Q320" i="2"/>
  <c r="R320" i="2" a="1"/>
  <c r="R320" i="2"/>
  <c r="S320" i="2" a="1"/>
  <c r="S320" i="2"/>
  <c r="O280" i="2" a="1"/>
  <c r="O280" i="2"/>
  <c r="N280" i="2" s="1"/>
  <c r="P280" i="2" a="1"/>
  <c r="P280" i="2"/>
  <c r="Q280" i="2"/>
  <c r="R280" i="2" a="1"/>
  <c r="R280" i="2"/>
  <c r="S280" i="2" a="1"/>
  <c r="S280" i="2"/>
  <c r="O281" i="2" a="1"/>
  <c r="O281" i="2"/>
  <c r="N281" i="2" s="1"/>
  <c r="P281" i="2" a="1"/>
  <c r="P281" i="2"/>
  <c r="Q281" i="2"/>
  <c r="R281" i="2" a="1"/>
  <c r="R281" i="2"/>
  <c r="S281" i="2" a="1"/>
  <c r="S281" i="2"/>
  <c r="O282" i="2" a="1"/>
  <c r="O282" i="2"/>
  <c r="N282" i="2" s="1"/>
  <c r="P282" i="2" a="1"/>
  <c r="P282" i="2"/>
  <c r="Q282" i="2"/>
  <c r="R282" i="2" a="1"/>
  <c r="R282" i="2"/>
  <c r="S282" i="2" a="1"/>
  <c r="S282" i="2"/>
  <c r="O283" i="2" a="1"/>
  <c r="O283" i="2"/>
  <c r="N283" i="2" s="1"/>
  <c r="P283" i="2" a="1"/>
  <c r="P283" i="2"/>
  <c r="Q283" i="2"/>
  <c r="R283" i="2" a="1"/>
  <c r="R283" i="2"/>
  <c r="S283" i="2" a="1"/>
  <c r="S283" i="2"/>
  <c r="O284" i="2" a="1"/>
  <c r="O284" i="2"/>
  <c r="N284" i="2" s="1"/>
  <c r="P284" i="2" a="1"/>
  <c r="P284" i="2"/>
  <c r="Q284" i="2"/>
  <c r="R284" i="2" a="1"/>
  <c r="R284" i="2"/>
  <c r="S284" i="2" a="1"/>
  <c r="S284" i="2"/>
  <c r="O285" i="2" a="1"/>
  <c r="O285" i="2"/>
  <c r="N285" i="2" s="1"/>
  <c r="P285" i="2" a="1"/>
  <c r="P285" i="2"/>
  <c r="Q285" i="2"/>
  <c r="R285" i="2" a="1"/>
  <c r="R285" i="2"/>
  <c r="S285" i="2" a="1"/>
  <c r="S285" i="2"/>
  <c r="O286" i="2" a="1"/>
  <c r="O286" i="2"/>
  <c r="N286" i="2" s="1"/>
  <c r="P286" i="2" a="1"/>
  <c r="P286" i="2"/>
  <c r="Q286" i="2"/>
  <c r="R286" i="2" a="1"/>
  <c r="R286" i="2"/>
  <c r="S286" i="2" a="1"/>
  <c r="S286" i="2"/>
  <c r="O287" i="2" a="1"/>
  <c r="O287" i="2"/>
  <c r="N287" i="2" s="1"/>
  <c r="P287" i="2" a="1"/>
  <c r="P287" i="2"/>
  <c r="Q287" i="2"/>
  <c r="R287" i="2" a="1"/>
  <c r="R287" i="2"/>
  <c r="S287" i="2" a="1"/>
  <c r="S287" i="2"/>
  <c r="O288" i="2" a="1"/>
  <c r="O288" i="2"/>
  <c r="N288" i="2" s="1"/>
  <c r="P288" i="2" a="1"/>
  <c r="P288" i="2"/>
  <c r="Q288" i="2"/>
  <c r="R288" i="2" a="1"/>
  <c r="R288" i="2"/>
  <c r="S288" i="2" a="1"/>
  <c r="S288" i="2"/>
  <c r="O289" i="2" a="1"/>
  <c r="O289" i="2"/>
  <c r="N289" i="2" s="1"/>
  <c r="P289" i="2" a="1"/>
  <c r="P289" i="2"/>
  <c r="Q289" i="2"/>
  <c r="R289" i="2" a="1"/>
  <c r="R289" i="2"/>
  <c r="S289" i="2" a="1"/>
  <c r="S289" i="2"/>
  <c r="O290" i="2" a="1"/>
  <c r="O290" i="2"/>
  <c r="N290" i="2" s="1"/>
  <c r="P290" i="2" a="1"/>
  <c r="P290" i="2"/>
  <c r="Q290" i="2"/>
  <c r="R290" i="2" a="1"/>
  <c r="R290" i="2"/>
  <c r="S290" i="2" a="1"/>
  <c r="S290" i="2"/>
  <c r="O291" i="2" a="1"/>
  <c r="O291" i="2"/>
  <c r="N291" i="2" s="1"/>
  <c r="P291" i="2" a="1"/>
  <c r="P291" i="2"/>
  <c r="Q291" i="2"/>
  <c r="R291" i="2" a="1"/>
  <c r="R291" i="2"/>
  <c r="S291" i="2" a="1"/>
  <c r="S291" i="2"/>
  <c r="O292" i="2" a="1"/>
  <c r="O292" i="2"/>
  <c r="N292" i="2" s="1"/>
  <c r="P292" i="2" a="1"/>
  <c r="P292" i="2"/>
  <c r="Q292" i="2"/>
  <c r="R292" i="2" a="1"/>
  <c r="R292" i="2"/>
  <c r="S292" i="2" a="1"/>
  <c r="S292" i="2"/>
  <c r="O293" i="2" a="1"/>
  <c r="O293" i="2"/>
  <c r="N293" i="2" s="1"/>
  <c r="P293" i="2" a="1"/>
  <c r="P293" i="2"/>
  <c r="Q293" i="2"/>
  <c r="R293" i="2" a="1"/>
  <c r="R293" i="2"/>
  <c r="S293" i="2" a="1"/>
  <c r="S293" i="2"/>
  <c r="O294" i="2" a="1"/>
  <c r="O294" i="2"/>
  <c r="N294" i="2" s="1"/>
  <c r="P294" i="2" a="1"/>
  <c r="P294" i="2"/>
  <c r="Q294" i="2"/>
  <c r="R294" i="2" a="1"/>
  <c r="R294" i="2"/>
  <c r="S294" i="2" a="1"/>
  <c r="S294" i="2"/>
  <c r="O295" i="2" a="1"/>
  <c r="O295" i="2"/>
  <c r="N295" i="2" s="1"/>
  <c r="P295" i="2" a="1"/>
  <c r="P295" i="2"/>
  <c r="Q295" i="2"/>
  <c r="R295" i="2" a="1"/>
  <c r="R295" i="2"/>
  <c r="S295" i="2" a="1"/>
  <c r="S295" i="2"/>
  <c r="O296" i="2" a="1"/>
  <c r="O296" i="2"/>
  <c r="N296" i="2" s="1"/>
  <c r="P296" i="2" a="1"/>
  <c r="P296" i="2"/>
  <c r="Q296" i="2"/>
  <c r="R296" i="2" a="1"/>
  <c r="R296" i="2"/>
  <c r="S296" i="2" a="1"/>
  <c r="S296" i="2"/>
  <c r="O297" i="2" a="1"/>
  <c r="O297" i="2"/>
  <c r="N297" i="2" s="1"/>
  <c r="P297" i="2" a="1"/>
  <c r="P297" i="2"/>
  <c r="Q297" i="2"/>
  <c r="R297" i="2" a="1"/>
  <c r="R297" i="2"/>
  <c r="S297" i="2" a="1"/>
  <c r="S297" i="2"/>
  <c r="O298" i="2" a="1"/>
  <c r="O298" i="2"/>
  <c r="N298" i="2" s="1"/>
  <c r="P298" i="2" a="1"/>
  <c r="P298" i="2"/>
  <c r="Q298" i="2"/>
  <c r="R298" i="2" a="1"/>
  <c r="R298" i="2"/>
  <c r="S298" i="2" a="1"/>
  <c r="S298" i="2"/>
  <c r="O299" i="2" a="1"/>
  <c r="O299" i="2"/>
  <c r="N299" i="2" s="1"/>
  <c r="P299" i="2" a="1"/>
  <c r="P299" i="2"/>
  <c r="Q299" i="2"/>
  <c r="R299" i="2" a="1"/>
  <c r="R299" i="2"/>
  <c r="S299" i="2" a="1"/>
  <c r="S299" i="2"/>
  <c r="O300" i="2" a="1"/>
  <c r="O300" i="2"/>
  <c r="N300" i="2" s="1"/>
  <c r="P300" i="2" a="1"/>
  <c r="P300" i="2"/>
  <c r="Q300" i="2"/>
  <c r="R300" i="2" a="1"/>
  <c r="R300" i="2"/>
  <c r="S300" i="2" a="1"/>
  <c r="S300" i="2"/>
  <c r="O301" i="2" a="1"/>
  <c r="O301" i="2"/>
  <c r="N301" i="2" s="1"/>
  <c r="P301" i="2" a="1"/>
  <c r="P301" i="2"/>
  <c r="Q301" i="2"/>
  <c r="R301" i="2" a="1"/>
  <c r="R301" i="2"/>
  <c r="S301" i="2" a="1"/>
  <c r="S301" i="2"/>
  <c r="O302" i="2" a="1"/>
  <c r="O302" i="2"/>
  <c r="N302" i="2" s="1"/>
  <c r="P302" i="2" a="1"/>
  <c r="P302" i="2"/>
  <c r="Q302" i="2"/>
  <c r="R302" i="2" a="1"/>
  <c r="R302" i="2"/>
  <c r="S302" i="2" a="1"/>
  <c r="S302" i="2"/>
  <c r="O303" i="2" a="1"/>
  <c r="O303" i="2"/>
  <c r="N303" i="2" s="1"/>
  <c r="P303" i="2" a="1"/>
  <c r="P303" i="2"/>
  <c r="Q303" i="2"/>
  <c r="R303" i="2" a="1"/>
  <c r="R303" i="2"/>
  <c r="S303" i="2" a="1"/>
  <c r="S303" i="2"/>
  <c r="O304" i="2" a="1"/>
  <c r="O304" i="2"/>
  <c r="N304" i="2" s="1"/>
  <c r="P304" i="2" a="1"/>
  <c r="P304" i="2"/>
  <c r="Q304" i="2"/>
  <c r="R304" i="2" a="1"/>
  <c r="R304" i="2"/>
  <c r="S304" i="2" a="1"/>
  <c r="S304" i="2"/>
  <c r="O305" i="2" a="1"/>
  <c r="O305" i="2"/>
  <c r="N305" i="2" s="1"/>
  <c r="P305" i="2" a="1"/>
  <c r="P305" i="2"/>
  <c r="Q305" i="2"/>
  <c r="R305" i="2" a="1"/>
  <c r="R305" i="2"/>
  <c r="S305" i="2" a="1"/>
  <c r="S305" i="2"/>
  <c r="O306" i="2" a="1"/>
  <c r="O306" i="2"/>
  <c r="N306" i="2" s="1"/>
  <c r="P306" i="2" a="1"/>
  <c r="P306" i="2"/>
  <c r="Q306" i="2"/>
  <c r="R306" i="2" a="1"/>
  <c r="R306" i="2"/>
  <c r="S306" i="2" a="1"/>
  <c r="S306" i="2"/>
  <c r="O223" i="2" a="1"/>
  <c r="O223" i="2"/>
  <c r="N223" i="2" s="1"/>
  <c r="P223" i="2" a="1"/>
  <c r="P223" i="2"/>
  <c r="Q223" i="2"/>
  <c r="R223" i="2" a="1"/>
  <c r="R223" i="2"/>
  <c r="S223" i="2" a="1"/>
  <c r="S223" i="2"/>
  <c r="O224" i="2" a="1"/>
  <c r="O224" i="2"/>
  <c r="N224" i="2" s="1"/>
  <c r="P224" i="2" a="1"/>
  <c r="P224" i="2"/>
  <c r="Q224" i="2"/>
  <c r="R224" i="2" a="1"/>
  <c r="R224" i="2"/>
  <c r="S224" i="2" a="1"/>
  <c r="S224" i="2"/>
  <c r="O225" i="2" a="1"/>
  <c r="O225" i="2"/>
  <c r="N225" i="2" s="1"/>
  <c r="P225" i="2" a="1"/>
  <c r="P225" i="2"/>
  <c r="Q225" i="2"/>
  <c r="R225" i="2" a="1"/>
  <c r="R225" i="2"/>
  <c r="S225" i="2" a="1"/>
  <c r="S225" i="2"/>
  <c r="O226" i="2" a="1"/>
  <c r="O226" i="2"/>
  <c r="N226" i="2" s="1"/>
  <c r="P226" i="2" a="1"/>
  <c r="P226" i="2"/>
  <c r="Q226" i="2"/>
  <c r="R226" i="2" a="1"/>
  <c r="R226" i="2"/>
  <c r="S226" i="2" a="1"/>
  <c r="S226" i="2"/>
  <c r="O227" i="2" a="1"/>
  <c r="O227" i="2"/>
  <c r="N227" i="2" s="1"/>
  <c r="P227" i="2" a="1"/>
  <c r="P227" i="2"/>
  <c r="Q227" i="2"/>
  <c r="R227" i="2" a="1"/>
  <c r="R227" i="2"/>
  <c r="S227" i="2" a="1"/>
  <c r="S227" i="2"/>
  <c r="O228" i="2" a="1"/>
  <c r="O228" i="2"/>
  <c r="N228" i="2" s="1"/>
  <c r="P228" i="2" a="1"/>
  <c r="P228" i="2"/>
  <c r="Q228" i="2"/>
  <c r="R228" i="2" a="1"/>
  <c r="R228" i="2"/>
  <c r="S228" i="2" a="1"/>
  <c r="S228" i="2"/>
  <c r="O229" i="2" a="1"/>
  <c r="O229" i="2"/>
  <c r="N229" i="2" s="1"/>
  <c r="P229" i="2" a="1"/>
  <c r="P229" i="2"/>
  <c r="Q229" i="2"/>
  <c r="R229" i="2" a="1"/>
  <c r="R229" i="2"/>
  <c r="S229" i="2" a="1"/>
  <c r="S229" i="2"/>
  <c r="O230" i="2" a="1"/>
  <c r="O230" i="2"/>
  <c r="N230" i="2" s="1"/>
  <c r="P230" i="2" a="1"/>
  <c r="P230" i="2"/>
  <c r="Q230" i="2"/>
  <c r="R230" i="2" a="1"/>
  <c r="R230" i="2"/>
  <c r="S230" i="2" a="1"/>
  <c r="S230" i="2"/>
  <c r="O231" i="2" a="1"/>
  <c r="O231" i="2"/>
  <c r="N231" i="2" s="1"/>
  <c r="P231" i="2" a="1"/>
  <c r="P231" i="2"/>
  <c r="Q231" i="2"/>
  <c r="R231" i="2" a="1"/>
  <c r="R231" i="2"/>
  <c r="S231" i="2" a="1"/>
  <c r="S231" i="2"/>
  <c r="O232" i="2" a="1"/>
  <c r="O232" i="2"/>
  <c r="N232" i="2" s="1"/>
  <c r="P232" i="2" a="1"/>
  <c r="P232" i="2"/>
  <c r="Q232" i="2"/>
  <c r="R232" i="2" a="1"/>
  <c r="R232" i="2"/>
  <c r="S232" i="2" a="1"/>
  <c r="S232" i="2"/>
  <c r="O233" i="2" a="1"/>
  <c r="O233" i="2"/>
  <c r="N233" i="2" s="1"/>
  <c r="P233" i="2" a="1"/>
  <c r="P233" i="2"/>
  <c r="Q233" i="2"/>
  <c r="R233" i="2" a="1"/>
  <c r="R233" i="2"/>
  <c r="S233" i="2" a="1"/>
  <c r="S233" i="2"/>
  <c r="O234" i="2" a="1"/>
  <c r="O234" i="2"/>
  <c r="N234" i="2" s="1"/>
  <c r="P234" i="2" a="1"/>
  <c r="P234" i="2"/>
  <c r="Q234" i="2"/>
  <c r="R234" i="2" a="1"/>
  <c r="R234" i="2"/>
  <c r="S234" i="2" a="1"/>
  <c r="S234" i="2"/>
  <c r="O235" i="2" a="1"/>
  <c r="O235" i="2"/>
  <c r="N235" i="2" s="1"/>
  <c r="P235" i="2" a="1"/>
  <c r="P235" i="2"/>
  <c r="Q235" i="2"/>
  <c r="R235" i="2" a="1"/>
  <c r="R235" i="2"/>
  <c r="S235" i="2" a="1"/>
  <c r="S235" i="2"/>
  <c r="O236" i="2" a="1"/>
  <c r="O236" i="2"/>
  <c r="N236" i="2" s="1"/>
  <c r="P236" i="2" a="1"/>
  <c r="P236" i="2"/>
  <c r="Q236" i="2"/>
  <c r="R236" i="2" a="1"/>
  <c r="R236" i="2"/>
  <c r="S236" i="2" a="1"/>
  <c r="S236" i="2"/>
  <c r="O237" i="2" a="1"/>
  <c r="O237" i="2"/>
  <c r="N237" i="2" s="1"/>
  <c r="P237" i="2" a="1"/>
  <c r="P237" i="2"/>
  <c r="Q237" i="2"/>
  <c r="R237" i="2" a="1"/>
  <c r="R237" i="2"/>
  <c r="S237" i="2" a="1"/>
  <c r="S237" i="2"/>
  <c r="O238" i="2" a="1"/>
  <c r="O238" i="2"/>
  <c r="N238" i="2" s="1"/>
  <c r="P238" i="2" a="1"/>
  <c r="P238" i="2"/>
  <c r="Q238" i="2"/>
  <c r="R238" i="2" a="1"/>
  <c r="R238" i="2"/>
  <c r="S238" i="2" a="1"/>
  <c r="S238" i="2"/>
  <c r="O239" i="2" a="1"/>
  <c r="O239" i="2"/>
  <c r="N239" i="2" s="1"/>
  <c r="P239" i="2" a="1"/>
  <c r="P239" i="2"/>
  <c r="Q239" i="2"/>
  <c r="R239" i="2" a="1"/>
  <c r="R239" i="2"/>
  <c r="S239" i="2" a="1"/>
  <c r="S239" i="2"/>
  <c r="O240" i="2" a="1"/>
  <c r="O240" i="2"/>
  <c r="N240" i="2" s="1"/>
  <c r="P240" i="2" a="1"/>
  <c r="P240" i="2"/>
  <c r="Q240" i="2"/>
  <c r="R240" i="2" a="1"/>
  <c r="R240" i="2"/>
  <c r="S240" i="2" a="1"/>
  <c r="S240" i="2"/>
  <c r="O241" i="2" a="1"/>
  <c r="O241" i="2"/>
  <c r="N241" i="2" s="1"/>
  <c r="P241" i="2" a="1"/>
  <c r="P241" i="2"/>
  <c r="Q241" i="2"/>
  <c r="R241" i="2" a="1"/>
  <c r="R241" i="2"/>
  <c r="S241" i="2" a="1"/>
  <c r="S241" i="2"/>
  <c r="O242" i="2" a="1"/>
  <c r="O242" i="2"/>
  <c r="N242" i="2" s="1"/>
  <c r="P242" i="2" a="1"/>
  <c r="P242" i="2"/>
  <c r="Q242" i="2"/>
  <c r="R242" i="2" a="1"/>
  <c r="R242" i="2"/>
  <c r="S242" i="2" a="1"/>
  <c r="S242" i="2"/>
  <c r="O243" i="2" a="1"/>
  <c r="O243" i="2"/>
  <c r="N243" i="2" s="1"/>
  <c r="P243" i="2" a="1"/>
  <c r="P243" i="2"/>
  <c r="Q243" i="2"/>
  <c r="R243" i="2" a="1"/>
  <c r="R243" i="2"/>
  <c r="S243" i="2" a="1"/>
  <c r="S243" i="2"/>
  <c r="O244" i="2" a="1"/>
  <c r="O244" i="2"/>
  <c r="N244" i="2" s="1"/>
  <c r="P244" i="2" a="1"/>
  <c r="P244" i="2"/>
  <c r="Q244" i="2"/>
  <c r="R244" i="2" a="1"/>
  <c r="R244" i="2"/>
  <c r="S244" i="2" a="1"/>
  <c r="S244" i="2"/>
  <c r="O245" i="2" a="1"/>
  <c r="O245" i="2"/>
  <c r="N245" i="2" s="1"/>
  <c r="P245" i="2" a="1"/>
  <c r="P245" i="2"/>
  <c r="Q245" i="2"/>
  <c r="R245" i="2" a="1"/>
  <c r="R245" i="2"/>
  <c r="S245" i="2" a="1"/>
  <c r="S245" i="2"/>
  <c r="O246" i="2" a="1"/>
  <c r="O246" i="2"/>
  <c r="N246" i="2" s="1"/>
  <c r="P246" i="2" a="1"/>
  <c r="P246" i="2"/>
  <c r="Q246" i="2"/>
  <c r="R246" i="2" a="1"/>
  <c r="R246" i="2"/>
  <c r="S246" i="2" a="1"/>
  <c r="S246" i="2"/>
  <c r="O247" i="2" a="1"/>
  <c r="O247" i="2"/>
  <c r="N247" i="2" s="1"/>
  <c r="P247" i="2" a="1"/>
  <c r="P247" i="2"/>
  <c r="Q247" i="2"/>
  <c r="R247" i="2" a="1"/>
  <c r="R247" i="2"/>
  <c r="S247" i="2" a="1"/>
  <c r="S247" i="2"/>
  <c r="O248" i="2" a="1"/>
  <c r="O248" i="2"/>
  <c r="N248" i="2" s="1"/>
  <c r="P248" i="2" a="1"/>
  <c r="P248" i="2"/>
  <c r="Q248" i="2"/>
  <c r="R248" i="2" a="1"/>
  <c r="R248" i="2"/>
  <c r="S248" i="2" a="1"/>
  <c r="S248" i="2"/>
  <c r="O249" i="2" a="1"/>
  <c r="O249" i="2"/>
  <c r="N249" i="2" s="1"/>
  <c r="P249" i="2" a="1"/>
  <c r="P249" i="2"/>
  <c r="Q249" i="2"/>
  <c r="R249" i="2" a="1"/>
  <c r="R249" i="2"/>
  <c r="S249" i="2" a="1"/>
  <c r="S249" i="2"/>
  <c r="O250" i="2" a="1"/>
  <c r="O250" i="2"/>
  <c r="N250" i="2" s="1"/>
  <c r="P250" i="2" a="1"/>
  <c r="P250" i="2"/>
  <c r="Q250" i="2"/>
  <c r="R250" i="2" a="1"/>
  <c r="R250" i="2"/>
  <c r="S250" i="2" a="1"/>
  <c r="S250" i="2"/>
  <c r="O251" i="2" a="1"/>
  <c r="O251" i="2"/>
  <c r="N251" i="2" s="1"/>
  <c r="P251" i="2" a="1"/>
  <c r="P251" i="2"/>
  <c r="Q251" i="2"/>
  <c r="R251" i="2" a="1"/>
  <c r="R251" i="2"/>
  <c r="S251" i="2" a="1"/>
  <c r="S251" i="2"/>
  <c r="O252" i="2" a="1"/>
  <c r="O252" i="2"/>
  <c r="N252" i="2" s="1"/>
  <c r="P252" i="2" a="1"/>
  <c r="P252" i="2"/>
  <c r="Q252" i="2"/>
  <c r="R252" i="2" a="1"/>
  <c r="R252" i="2"/>
  <c r="S252" i="2" a="1"/>
  <c r="S252" i="2"/>
  <c r="O253" i="2" a="1"/>
  <c r="O253" i="2"/>
  <c r="N253" i="2" s="1"/>
  <c r="P253" i="2" a="1"/>
  <c r="P253" i="2"/>
  <c r="Q253" i="2"/>
  <c r="R253" i="2" a="1"/>
  <c r="R253" i="2"/>
  <c r="S253" i="2" a="1"/>
  <c r="S253" i="2"/>
  <c r="O254" i="2" a="1"/>
  <c r="O254" i="2"/>
  <c r="N254" i="2" s="1"/>
  <c r="P254" i="2" a="1"/>
  <c r="P254" i="2"/>
  <c r="Q254" i="2"/>
  <c r="R254" i="2" a="1"/>
  <c r="R254" i="2"/>
  <c r="S254" i="2" a="1"/>
  <c r="S254" i="2"/>
  <c r="O255" i="2" a="1"/>
  <c r="O255" i="2"/>
  <c r="N255" i="2" s="1"/>
  <c r="P255" i="2" a="1"/>
  <c r="P255" i="2"/>
  <c r="Q255" i="2"/>
  <c r="R255" i="2" a="1"/>
  <c r="R255" i="2"/>
  <c r="S255" i="2" a="1"/>
  <c r="S255" i="2"/>
  <c r="O256" i="2" a="1"/>
  <c r="O256" i="2"/>
  <c r="N256" i="2" s="1"/>
  <c r="P256" i="2" a="1"/>
  <c r="P256" i="2"/>
  <c r="Q256" i="2"/>
  <c r="R256" i="2" a="1"/>
  <c r="R256" i="2"/>
  <c r="S256" i="2" a="1"/>
  <c r="S256" i="2"/>
  <c r="O257" i="2" a="1"/>
  <c r="O257" i="2"/>
  <c r="N257" i="2" s="1"/>
  <c r="P257" i="2" a="1"/>
  <c r="P257" i="2"/>
  <c r="Q257" i="2"/>
  <c r="R257" i="2" a="1"/>
  <c r="R257" i="2"/>
  <c r="S257" i="2" a="1"/>
  <c r="S257" i="2"/>
  <c r="O258" i="2" a="1"/>
  <c r="O258" i="2"/>
  <c r="N258" i="2" s="1"/>
  <c r="P258" i="2" a="1"/>
  <c r="P258" i="2"/>
  <c r="Q258" i="2"/>
  <c r="R258" i="2" a="1"/>
  <c r="R258" i="2"/>
  <c r="S258" i="2" a="1"/>
  <c r="S258" i="2"/>
  <c r="O259" i="2" a="1"/>
  <c r="O259" i="2"/>
  <c r="N259" i="2" s="1"/>
  <c r="P259" i="2" a="1"/>
  <c r="P259" i="2"/>
  <c r="Q259" i="2"/>
  <c r="R259" i="2" a="1"/>
  <c r="R259" i="2"/>
  <c r="S259" i="2" a="1"/>
  <c r="S259" i="2"/>
  <c r="O260" i="2" a="1"/>
  <c r="O260" i="2"/>
  <c r="N260" i="2" s="1"/>
  <c r="P260" i="2" a="1"/>
  <c r="P260" i="2"/>
  <c r="Q260" i="2"/>
  <c r="R260" i="2" a="1"/>
  <c r="R260" i="2"/>
  <c r="S260" i="2" a="1"/>
  <c r="S260" i="2"/>
  <c r="O261" i="2" a="1"/>
  <c r="O261" i="2"/>
  <c r="N261" i="2" s="1"/>
  <c r="P261" i="2" a="1"/>
  <c r="P261" i="2"/>
  <c r="Q261" i="2"/>
  <c r="R261" i="2" a="1"/>
  <c r="R261" i="2"/>
  <c r="S261" i="2" a="1"/>
  <c r="S261" i="2"/>
  <c r="O262" i="2" a="1"/>
  <c r="O262" i="2"/>
  <c r="N262" i="2" s="1"/>
  <c r="P262" i="2" a="1"/>
  <c r="P262" i="2"/>
  <c r="Q262" i="2"/>
  <c r="R262" i="2" a="1"/>
  <c r="R262" i="2"/>
  <c r="S262" i="2" a="1"/>
  <c r="S262" i="2"/>
  <c r="O263" i="2" a="1"/>
  <c r="O263" i="2"/>
  <c r="N263" i="2" s="1"/>
  <c r="P263" i="2" a="1"/>
  <c r="P263" i="2"/>
  <c r="Q263" i="2"/>
  <c r="R263" i="2" a="1"/>
  <c r="R263" i="2"/>
  <c r="S263" i="2" a="1"/>
  <c r="S263" i="2"/>
  <c r="O264" i="2" a="1"/>
  <c r="O264" i="2"/>
  <c r="N264" i="2" s="1"/>
  <c r="P264" i="2" a="1"/>
  <c r="P264" i="2"/>
  <c r="Q264" i="2"/>
  <c r="R264" i="2" a="1"/>
  <c r="R264" i="2"/>
  <c r="S264" i="2" a="1"/>
  <c r="S264" i="2"/>
  <c r="O265" i="2" a="1"/>
  <c r="O265" i="2"/>
  <c r="N265" i="2" s="1"/>
  <c r="P265" i="2" a="1"/>
  <c r="P265" i="2"/>
  <c r="Q265" i="2"/>
  <c r="R265" i="2" a="1"/>
  <c r="R265" i="2"/>
  <c r="S265" i="2" a="1"/>
  <c r="S265" i="2"/>
  <c r="O266" i="2" a="1"/>
  <c r="O266" i="2"/>
  <c r="N266" i="2" s="1"/>
  <c r="P266" i="2" a="1"/>
  <c r="P266" i="2"/>
  <c r="Q266" i="2"/>
  <c r="R266" i="2" a="1"/>
  <c r="R266" i="2"/>
  <c r="S266" i="2" a="1"/>
  <c r="S266" i="2"/>
  <c r="O267" i="2" a="1"/>
  <c r="O267" i="2"/>
  <c r="N267" i="2" s="1"/>
  <c r="P267" i="2" a="1"/>
  <c r="P267" i="2"/>
  <c r="Q267" i="2"/>
  <c r="R267" i="2" a="1"/>
  <c r="R267" i="2"/>
  <c r="S267" i="2" a="1"/>
  <c r="S267" i="2"/>
  <c r="O268" i="2" a="1"/>
  <c r="O268" i="2"/>
  <c r="N268" i="2" s="1"/>
  <c r="P268" i="2" a="1"/>
  <c r="P268" i="2"/>
  <c r="Q268" i="2"/>
  <c r="R268" i="2" a="1"/>
  <c r="R268" i="2"/>
  <c r="S268" i="2" a="1"/>
  <c r="S268" i="2"/>
  <c r="O269" i="2" a="1"/>
  <c r="O269" i="2"/>
  <c r="N269" i="2" s="1"/>
  <c r="P269" i="2" a="1"/>
  <c r="P269" i="2"/>
  <c r="Q269" i="2"/>
  <c r="R269" i="2" a="1"/>
  <c r="R269" i="2"/>
  <c r="S269" i="2" a="1"/>
  <c r="S269" i="2"/>
  <c r="O270" i="2" a="1"/>
  <c r="O270" i="2"/>
  <c r="N270" i="2" s="1"/>
  <c r="P270" i="2" a="1"/>
  <c r="P270" i="2"/>
  <c r="Q270" i="2"/>
  <c r="R270" i="2" a="1"/>
  <c r="R270" i="2"/>
  <c r="S270" i="2" a="1"/>
  <c r="S270" i="2"/>
  <c r="O271" i="2" a="1"/>
  <c r="O271" i="2"/>
  <c r="N271" i="2" s="1"/>
  <c r="P271" i="2" a="1"/>
  <c r="P271" i="2"/>
  <c r="Q271" i="2"/>
  <c r="R271" i="2" a="1"/>
  <c r="R271" i="2"/>
  <c r="S271" i="2" a="1"/>
  <c r="S271" i="2"/>
  <c r="O272" i="2" a="1"/>
  <c r="O272" i="2"/>
  <c r="N272" i="2" s="1"/>
  <c r="P272" i="2" a="1"/>
  <c r="P272" i="2"/>
  <c r="Q272" i="2"/>
  <c r="R272" i="2" a="1"/>
  <c r="R272" i="2"/>
  <c r="S272" i="2" a="1"/>
  <c r="S272" i="2"/>
  <c r="O273" i="2" a="1"/>
  <c r="O273" i="2"/>
  <c r="N273" i="2" s="1"/>
  <c r="P273" i="2" a="1"/>
  <c r="P273" i="2"/>
  <c r="Q273" i="2"/>
  <c r="R273" i="2" a="1"/>
  <c r="R273" i="2"/>
  <c r="S273" i="2" a="1"/>
  <c r="S273" i="2"/>
  <c r="O274" i="2" a="1"/>
  <c r="O274" i="2"/>
  <c r="N274" i="2" s="1"/>
  <c r="P274" i="2" a="1"/>
  <c r="P274" i="2"/>
  <c r="Q274" i="2"/>
  <c r="R274" i="2" a="1"/>
  <c r="R274" i="2"/>
  <c r="S274" i="2" a="1"/>
  <c r="S274" i="2"/>
  <c r="O275" i="2" a="1"/>
  <c r="O275" i="2"/>
  <c r="N275" i="2" s="1"/>
  <c r="P275" i="2" a="1"/>
  <c r="P275" i="2"/>
  <c r="Q275" i="2"/>
  <c r="R275" i="2" a="1"/>
  <c r="R275" i="2"/>
  <c r="S275" i="2" a="1"/>
  <c r="S275" i="2"/>
  <c r="O276" i="2" a="1"/>
  <c r="O276" i="2"/>
  <c r="N276" i="2" s="1"/>
  <c r="P276" i="2" a="1"/>
  <c r="P276" i="2"/>
  <c r="Q276" i="2"/>
  <c r="R276" i="2" a="1"/>
  <c r="R276" i="2"/>
  <c r="S276" i="2" a="1"/>
  <c r="S276" i="2"/>
  <c r="O277" i="2" a="1"/>
  <c r="O277" i="2"/>
  <c r="N277" i="2" s="1"/>
  <c r="P277" i="2" a="1"/>
  <c r="P277" i="2"/>
  <c r="Q277" i="2"/>
  <c r="R277" i="2" a="1"/>
  <c r="R277" i="2"/>
  <c r="S277" i="2" a="1"/>
  <c r="S277" i="2"/>
  <c r="O278" i="2" a="1"/>
  <c r="O278" i="2"/>
  <c r="N278" i="2" s="1"/>
  <c r="P278" i="2" a="1"/>
  <c r="P278" i="2"/>
  <c r="Q278" i="2"/>
  <c r="R278" i="2" a="1"/>
  <c r="R278" i="2"/>
  <c r="S278" i="2" a="1"/>
  <c r="S278" i="2"/>
  <c r="O279" i="2" a="1"/>
  <c r="O279" i="2"/>
  <c r="N279" i="2" s="1"/>
  <c r="P279" i="2" a="1"/>
  <c r="P279" i="2"/>
  <c r="Q279" i="2"/>
  <c r="R279" i="2" a="1"/>
  <c r="R279" i="2"/>
  <c r="S279" i="2" a="1"/>
  <c r="S279" i="2"/>
  <c r="O171" i="2" a="1"/>
  <c r="O171" i="2"/>
  <c r="N171" i="2" s="1"/>
  <c r="P171" i="2" a="1"/>
  <c r="P171" i="2"/>
  <c r="Q171" i="2"/>
  <c r="R171" i="2" a="1"/>
  <c r="R171" i="2"/>
  <c r="S171" i="2" a="1"/>
  <c r="S171" i="2"/>
  <c r="O172" i="2" a="1"/>
  <c r="O172" i="2"/>
  <c r="N172" i="2" s="1"/>
  <c r="P172" i="2" a="1"/>
  <c r="P172" i="2"/>
  <c r="Q172" i="2"/>
  <c r="R172" i="2" a="1"/>
  <c r="R172" i="2"/>
  <c r="S172" i="2" a="1"/>
  <c r="S172" i="2"/>
  <c r="O173" i="2" a="1"/>
  <c r="O173" i="2"/>
  <c r="N173" i="2" s="1"/>
  <c r="P173" i="2" a="1"/>
  <c r="P173" i="2"/>
  <c r="Q173" i="2"/>
  <c r="R173" i="2" a="1"/>
  <c r="R173" i="2"/>
  <c r="S173" i="2" a="1"/>
  <c r="S173" i="2"/>
  <c r="O174" i="2" a="1"/>
  <c r="O174" i="2"/>
  <c r="N174" i="2" s="1"/>
  <c r="P174" i="2" a="1"/>
  <c r="P174" i="2"/>
  <c r="Q174" i="2"/>
  <c r="R174" i="2" a="1"/>
  <c r="R174" i="2"/>
  <c r="S174" i="2" a="1"/>
  <c r="S174" i="2"/>
  <c r="O175" i="2" a="1"/>
  <c r="O175" i="2"/>
  <c r="N175" i="2" s="1"/>
  <c r="P175" i="2" a="1"/>
  <c r="P175" i="2"/>
  <c r="Q175" i="2"/>
  <c r="R175" i="2" a="1"/>
  <c r="R175" i="2"/>
  <c r="S175" i="2" a="1"/>
  <c r="S175" i="2"/>
  <c r="O176" i="2" a="1"/>
  <c r="O176" i="2"/>
  <c r="N176" i="2" s="1"/>
  <c r="P176" i="2" a="1"/>
  <c r="P176" i="2"/>
  <c r="Q176" i="2"/>
  <c r="R176" i="2" a="1"/>
  <c r="R176" i="2"/>
  <c r="S176" i="2" a="1"/>
  <c r="S176" i="2"/>
  <c r="O177" i="2" a="1"/>
  <c r="O177" i="2"/>
  <c r="N177" i="2" s="1"/>
  <c r="P177" i="2" a="1"/>
  <c r="P177" i="2"/>
  <c r="Q177" i="2"/>
  <c r="R177" i="2" a="1"/>
  <c r="R177" i="2"/>
  <c r="S177" i="2" a="1"/>
  <c r="S177" i="2"/>
  <c r="O178" i="2" a="1"/>
  <c r="O178" i="2"/>
  <c r="N178" i="2" s="1"/>
  <c r="P178" i="2" a="1"/>
  <c r="P178" i="2"/>
  <c r="Q178" i="2"/>
  <c r="R178" i="2" a="1"/>
  <c r="R178" i="2"/>
  <c r="S178" i="2" a="1"/>
  <c r="S178" i="2"/>
  <c r="O179" i="2" a="1"/>
  <c r="O179" i="2"/>
  <c r="N179" i="2" s="1"/>
  <c r="P179" i="2" a="1"/>
  <c r="P179" i="2"/>
  <c r="Q179" i="2"/>
  <c r="R179" i="2" a="1"/>
  <c r="R179" i="2"/>
  <c r="S179" i="2" a="1"/>
  <c r="S179" i="2"/>
  <c r="O180" i="2" a="1"/>
  <c r="O180" i="2"/>
  <c r="N180" i="2" s="1"/>
  <c r="P180" i="2" a="1"/>
  <c r="P180" i="2"/>
  <c r="Q180" i="2"/>
  <c r="R180" i="2" a="1"/>
  <c r="R180" i="2"/>
  <c r="S180" i="2" a="1"/>
  <c r="S180" i="2"/>
  <c r="O181" i="2" a="1"/>
  <c r="O181" i="2"/>
  <c r="N181" i="2" s="1"/>
  <c r="P181" i="2" a="1"/>
  <c r="P181" i="2"/>
  <c r="Q181" i="2"/>
  <c r="R181" i="2" a="1"/>
  <c r="R181" i="2"/>
  <c r="S181" i="2" a="1"/>
  <c r="S181" i="2"/>
  <c r="O182" i="2" a="1"/>
  <c r="O182" i="2"/>
  <c r="N182" i="2" s="1"/>
  <c r="P182" i="2" a="1"/>
  <c r="P182" i="2"/>
  <c r="Q182" i="2"/>
  <c r="R182" i="2" a="1"/>
  <c r="R182" i="2"/>
  <c r="S182" i="2" a="1"/>
  <c r="S182" i="2"/>
  <c r="O183" i="2" a="1"/>
  <c r="O183" i="2"/>
  <c r="N183" i="2" s="1"/>
  <c r="P183" i="2" a="1"/>
  <c r="P183" i="2"/>
  <c r="Q183" i="2"/>
  <c r="R183" i="2" a="1"/>
  <c r="R183" i="2"/>
  <c r="S183" i="2" a="1"/>
  <c r="S183" i="2"/>
  <c r="O184" i="2" a="1"/>
  <c r="O184" i="2"/>
  <c r="N184" i="2" s="1"/>
  <c r="P184" i="2" a="1"/>
  <c r="P184" i="2"/>
  <c r="Q184" i="2"/>
  <c r="R184" i="2" a="1"/>
  <c r="R184" i="2"/>
  <c r="S184" i="2" a="1"/>
  <c r="S184" i="2"/>
  <c r="O185" i="2" a="1"/>
  <c r="O185" i="2"/>
  <c r="N185" i="2" s="1"/>
  <c r="P185" i="2" a="1"/>
  <c r="P185" i="2"/>
  <c r="Q185" i="2"/>
  <c r="R185" i="2" a="1"/>
  <c r="R185" i="2"/>
  <c r="S185" i="2" a="1"/>
  <c r="S185" i="2"/>
  <c r="O186" i="2" a="1"/>
  <c r="O186" i="2"/>
  <c r="N186" i="2" s="1"/>
  <c r="P186" i="2" a="1"/>
  <c r="P186" i="2"/>
  <c r="Q186" i="2"/>
  <c r="R186" i="2" a="1"/>
  <c r="R186" i="2"/>
  <c r="S186" i="2" a="1"/>
  <c r="S186" i="2"/>
  <c r="O187" i="2" a="1"/>
  <c r="O187" i="2"/>
  <c r="N187" i="2" s="1"/>
  <c r="P187" i="2" a="1"/>
  <c r="P187" i="2"/>
  <c r="Q187" i="2"/>
  <c r="R187" i="2" a="1"/>
  <c r="R187" i="2"/>
  <c r="S187" i="2" a="1"/>
  <c r="S187" i="2"/>
  <c r="O188" i="2" a="1"/>
  <c r="O188" i="2"/>
  <c r="N188" i="2" s="1"/>
  <c r="P188" i="2" a="1"/>
  <c r="P188" i="2"/>
  <c r="Q188" i="2"/>
  <c r="R188" i="2" a="1"/>
  <c r="R188" i="2"/>
  <c r="S188" i="2" a="1"/>
  <c r="S188" i="2"/>
  <c r="O189" i="2" a="1"/>
  <c r="O189" i="2"/>
  <c r="N189" i="2" s="1"/>
  <c r="P189" i="2" a="1"/>
  <c r="P189" i="2"/>
  <c r="Q189" i="2"/>
  <c r="R189" i="2" a="1"/>
  <c r="R189" i="2"/>
  <c r="S189" i="2" a="1"/>
  <c r="S189" i="2"/>
  <c r="O190" i="2" a="1"/>
  <c r="O190" i="2"/>
  <c r="N190" i="2" s="1"/>
  <c r="P190" i="2" a="1"/>
  <c r="P190" i="2"/>
  <c r="Q190" i="2"/>
  <c r="R190" i="2" a="1"/>
  <c r="R190" i="2"/>
  <c r="S190" i="2" a="1"/>
  <c r="S190" i="2"/>
  <c r="O191" i="2" a="1"/>
  <c r="O191" i="2"/>
  <c r="N191" i="2" s="1"/>
  <c r="P191" i="2" a="1"/>
  <c r="P191" i="2"/>
  <c r="Q191" i="2"/>
  <c r="R191" i="2" a="1"/>
  <c r="R191" i="2"/>
  <c r="S191" i="2" a="1"/>
  <c r="S191" i="2"/>
  <c r="O192" i="2" a="1"/>
  <c r="O192" i="2"/>
  <c r="N192" i="2" s="1"/>
  <c r="P192" i="2" a="1"/>
  <c r="P192" i="2"/>
  <c r="Q192" i="2"/>
  <c r="R192" i="2" a="1"/>
  <c r="R192" i="2"/>
  <c r="S192" i="2" a="1"/>
  <c r="S192" i="2"/>
  <c r="O193" i="2" a="1"/>
  <c r="O193" i="2"/>
  <c r="N193" i="2" s="1"/>
  <c r="P193" i="2" a="1"/>
  <c r="P193" i="2"/>
  <c r="Q193" i="2"/>
  <c r="R193" i="2" a="1"/>
  <c r="R193" i="2"/>
  <c r="S193" i="2" a="1"/>
  <c r="S193" i="2"/>
  <c r="O194" i="2" a="1"/>
  <c r="O194" i="2"/>
  <c r="N194" i="2" s="1"/>
  <c r="P194" i="2" a="1"/>
  <c r="P194" i="2"/>
  <c r="Q194" i="2"/>
  <c r="R194" i="2" a="1"/>
  <c r="R194" i="2"/>
  <c r="S194" i="2" a="1"/>
  <c r="S194" i="2"/>
  <c r="O195" i="2" a="1"/>
  <c r="O195" i="2"/>
  <c r="N195" i="2" s="1"/>
  <c r="P195" i="2" a="1"/>
  <c r="P195" i="2"/>
  <c r="Q195" i="2"/>
  <c r="R195" i="2" a="1"/>
  <c r="R195" i="2"/>
  <c r="S195" i="2" a="1"/>
  <c r="S195" i="2"/>
  <c r="O196" i="2" a="1"/>
  <c r="O196" i="2"/>
  <c r="N196" i="2" s="1"/>
  <c r="P196" i="2" a="1"/>
  <c r="P196" i="2"/>
  <c r="Q196" i="2"/>
  <c r="R196" i="2" a="1"/>
  <c r="R196" i="2"/>
  <c r="S196" i="2" a="1"/>
  <c r="S196" i="2"/>
  <c r="O197" i="2" a="1"/>
  <c r="O197" i="2"/>
  <c r="N197" i="2" s="1"/>
  <c r="P197" i="2" a="1"/>
  <c r="P197" i="2"/>
  <c r="Q197" i="2"/>
  <c r="R197" i="2" a="1"/>
  <c r="R197" i="2"/>
  <c r="S197" i="2" a="1"/>
  <c r="S197" i="2"/>
  <c r="O198" i="2" a="1"/>
  <c r="O198" i="2"/>
  <c r="N198" i="2" s="1"/>
  <c r="P198" i="2" a="1"/>
  <c r="P198" i="2"/>
  <c r="Q198" i="2"/>
  <c r="R198" i="2" a="1"/>
  <c r="R198" i="2"/>
  <c r="S198" i="2" a="1"/>
  <c r="S198" i="2"/>
  <c r="O199" i="2" a="1"/>
  <c r="O199" i="2"/>
  <c r="N199" i="2" s="1"/>
  <c r="P199" i="2" a="1"/>
  <c r="P199" i="2"/>
  <c r="Q199" i="2"/>
  <c r="R199" i="2" a="1"/>
  <c r="R199" i="2"/>
  <c r="S199" i="2" a="1"/>
  <c r="S199" i="2"/>
  <c r="O200" i="2" a="1"/>
  <c r="O200" i="2"/>
  <c r="N200" i="2" s="1"/>
  <c r="P200" i="2" a="1"/>
  <c r="P200" i="2"/>
  <c r="Q200" i="2"/>
  <c r="R200" i="2" a="1"/>
  <c r="R200" i="2"/>
  <c r="S200" i="2" a="1"/>
  <c r="S200" i="2"/>
  <c r="O201" i="2" a="1"/>
  <c r="O201" i="2"/>
  <c r="N201" i="2" s="1"/>
  <c r="P201" i="2" a="1"/>
  <c r="P201" i="2"/>
  <c r="Q201" i="2"/>
  <c r="R201" i="2" a="1"/>
  <c r="R201" i="2"/>
  <c r="S201" i="2" a="1"/>
  <c r="S201" i="2"/>
  <c r="O202" i="2" a="1"/>
  <c r="O202" i="2"/>
  <c r="N202" i="2" s="1"/>
  <c r="P202" i="2" a="1"/>
  <c r="P202" i="2"/>
  <c r="Q202" i="2"/>
  <c r="R202" i="2" a="1"/>
  <c r="R202" i="2"/>
  <c r="S202" i="2" a="1"/>
  <c r="S202" i="2"/>
  <c r="O203" i="2" a="1"/>
  <c r="O203" i="2"/>
  <c r="N203" i="2" s="1"/>
  <c r="P203" i="2" a="1"/>
  <c r="P203" i="2"/>
  <c r="Q203" i="2"/>
  <c r="R203" i="2" a="1"/>
  <c r="R203" i="2"/>
  <c r="S203" i="2" a="1"/>
  <c r="S203" i="2"/>
  <c r="O204" i="2" a="1"/>
  <c r="O204" i="2"/>
  <c r="N204" i="2" s="1"/>
  <c r="P204" i="2" a="1"/>
  <c r="P204" i="2"/>
  <c r="Q204" i="2"/>
  <c r="R204" i="2" a="1"/>
  <c r="R204" i="2"/>
  <c r="S204" i="2" a="1"/>
  <c r="S204" i="2"/>
  <c r="O205" i="2" a="1"/>
  <c r="O205" i="2"/>
  <c r="N205" i="2" s="1"/>
  <c r="P205" i="2" a="1"/>
  <c r="P205" i="2"/>
  <c r="Q205" i="2"/>
  <c r="R205" i="2" a="1"/>
  <c r="R205" i="2"/>
  <c r="S205" i="2" a="1"/>
  <c r="S205" i="2"/>
  <c r="O206" i="2" a="1"/>
  <c r="O206" i="2"/>
  <c r="N206" i="2" s="1"/>
  <c r="P206" i="2" a="1"/>
  <c r="P206" i="2"/>
  <c r="Q206" i="2"/>
  <c r="R206" i="2" a="1"/>
  <c r="R206" i="2"/>
  <c r="S206" i="2" a="1"/>
  <c r="S206" i="2"/>
  <c r="O207" i="2" a="1"/>
  <c r="O207" i="2"/>
  <c r="N207" i="2" s="1"/>
  <c r="P207" i="2" a="1"/>
  <c r="P207" i="2"/>
  <c r="Q207" i="2"/>
  <c r="R207" i="2" a="1"/>
  <c r="R207" i="2"/>
  <c r="S207" i="2" a="1"/>
  <c r="S207" i="2"/>
  <c r="O208" i="2" a="1"/>
  <c r="O208" i="2"/>
  <c r="N208" i="2" s="1"/>
  <c r="P208" i="2" a="1"/>
  <c r="P208" i="2"/>
  <c r="Q208" i="2"/>
  <c r="R208" i="2" a="1"/>
  <c r="R208" i="2"/>
  <c r="S208" i="2" a="1"/>
  <c r="S208" i="2"/>
  <c r="O209" i="2" a="1"/>
  <c r="O209" i="2"/>
  <c r="N209" i="2" s="1"/>
  <c r="P209" i="2" a="1"/>
  <c r="P209" i="2"/>
  <c r="Q209" i="2"/>
  <c r="R209" i="2" a="1"/>
  <c r="R209" i="2"/>
  <c r="S209" i="2" a="1"/>
  <c r="S209" i="2"/>
  <c r="O210" i="2" a="1"/>
  <c r="O210" i="2"/>
  <c r="N210" i="2" s="1"/>
  <c r="P210" i="2" a="1"/>
  <c r="P210" i="2"/>
  <c r="Q210" i="2"/>
  <c r="R210" i="2" a="1"/>
  <c r="R210" i="2"/>
  <c r="S210" i="2" a="1"/>
  <c r="S210" i="2"/>
  <c r="O211" i="2" a="1"/>
  <c r="O211" i="2"/>
  <c r="N211" i="2" s="1"/>
  <c r="P211" i="2" a="1"/>
  <c r="P211" i="2"/>
  <c r="Q211" i="2"/>
  <c r="R211" i="2" a="1"/>
  <c r="R211" i="2"/>
  <c r="S211" i="2" a="1"/>
  <c r="S211" i="2"/>
  <c r="O212" i="2" a="1"/>
  <c r="O212" i="2"/>
  <c r="N212" i="2" s="1"/>
  <c r="P212" i="2" a="1"/>
  <c r="P212" i="2"/>
  <c r="Q212" i="2"/>
  <c r="R212" i="2" a="1"/>
  <c r="R212" i="2"/>
  <c r="S212" i="2" a="1"/>
  <c r="S212" i="2"/>
  <c r="O213" i="2" a="1"/>
  <c r="O213" i="2"/>
  <c r="N213" i="2" s="1"/>
  <c r="P213" i="2" a="1"/>
  <c r="P213" i="2"/>
  <c r="Q213" i="2"/>
  <c r="R213" i="2" a="1"/>
  <c r="R213" i="2"/>
  <c r="S213" i="2" a="1"/>
  <c r="S213" i="2"/>
  <c r="O214" i="2" a="1"/>
  <c r="O214" i="2"/>
  <c r="N214" i="2" s="1"/>
  <c r="P214" i="2" a="1"/>
  <c r="P214" i="2"/>
  <c r="Q214" i="2"/>
  <c r="R214" i="2" a="1"/>
  <c r="R214" i="2"/>
  <c r="S214" i="2" a="1"/>
  <c r="S214" i="2"/>
  <c r="O215" i="2" a="1"/>
  <c r="O215" i="2"/>
  <c r="N215" i="2" s="1"/>
  <c r="P215" i="2" a="1"/>
  <c r="P215" i="2"/>
  <c r="Q215" i="2"/>
  <c r="R215" i="2" a="1"/>
  <c r="R215" i="2"/>
  <c r="S215" i="2" a="1"/>
  <c r="S215" i="2"/>
  <c r="O216" i="2" a="1"/>
  <c r="O216" i="2"/>
  <c r="N216" i="2" s="1"/>
  <c r="P216" i="2" a="1"/>
  <c r="P216" i="2"/>
  <c r="Q216" i="2"/>
  <c r="R216" i="2" a="1"/>
  <c r="R216" i="2"/>
  <c r="S216" i="2" a="1"/>
  <c r="S216" i="2"/>
  <c r="O217" i="2" a="1"/>
  <c r="O217" i="2"/>
  <c r="N217" i="2" s="1"/>
  <c r="P217" i="2" a="1"/>
  <c r="P217" i="2"/>
  <c r="Q217" i="2"/>
  <c r="R217" i="2" a="1"/>
  <c r="R217" i="2"/>
  <c r="S217" i="2" a="1"/>
  <c r="S217" i="2"/>
  <c r="O218" i="2" a="1"/>
  <c r="O218" i="2"/>
  <c r="N218" i="2" s="1"/>
  <c r="P218" i="2" a="1"/>
  <c r="P218" i="2"/>
  <c r="Q218" i="2"/>
  <c r="R218" i="2" a="1"/>
  <c r="R218" i="2"/>
  <c r="S218" i="2" a="1"/>
  <c r="S218" i="2"/>
  <c r="O219" i="2" a="1"/>
  <c r="O219" i="2"/>
  <c r="N219" i="2" s="1"/>
  <c r="P219" i="2" a="1"/>
  <c r="P219" i="2"/>
  <c r="Q219" i="2"/>
  <c r="R219" i="2" a="1"/>
  <c r="R219" i="2"/>
  <c r="S219" i="2" a="1"/>
  <c r="S219" i="2"/>
  <c r="O220" i="2" a="1"/>
  <c r="O220" i="2"/>
  <c r="N220" i="2" s="1"/>
  <c r="P220" i="2" a="1"/>
  <c r="P220" i="2"/>
  <c r="Q220" i="2"/>
  <c r="R220" i="2" a="1"/>
  <c r="R220" i="2"/>
  <c r="S220" i="2" a="1"/>
  <c r="S220" i="2"/>
  <c r="O221" i="2" a="1"/>
  <c r="O221" i="2"/>
  <c r="N221" i="2" s="1"/>
  <c r="P221" i="2" a="1"/>
  <c r="P221" i="2"/>
  <c r="Q221" i="2"/>
  <c r="R221" i="2" a="1"/>
  <c r="R221" i="2"/>
  <c r="S221" i="2" a="1"/>
  <c r="S221" i="2"/>
  <c r="O222" i="2" a="1"/>
  <c r="O222" i="2"/>
  <c r="N222" i="2" s="1"/>
  <c r="P222" i="2" a="1"/>
  <c r="P222" i="2"/>
  <c r="Q222" i="2"/>
  <c r="R222" i="2" a="1"/>
  <c r="R222" i="2"/>
  <c r="S222" i="2" a="1"/>
  <c r="S222" i="2"/>
  <c r="O77" i="2" a="1"/>
  <c r="O77" i="2"/>
  <c r="N77" i="2" s="1"/>
  <c r="P77" i="2" a="1"/>
  <c r="P77" i="2"/>
  <c r="Q77" i="2"/>
  <c r="R77" i="2" a="1"/>
  <c r="R77" i="2"/>
  <c r="S77" i="2" a="1"/>
  <c r="S77" i="2"/>
  <c r="O78" i="2" a="1"/>
  <c r="O78" i="2"/>
  <c r="N78" i="2" s="1"/>
  <c r="P78" i="2" a="1"/>
  <c r="P78" i="2"/>
  <c r="Q78" i="2"/>
  <c r="R78" i="2" a="1"/>
  <c r="R78" i="2"/>
  <c r="S78" i="2" a="1"/>
  <c r="S78" i="2"/>
  <c r="O79" i="2" a="1"/>
  <c r="O79" i="2"/>
  <c r="N79" i="2" s="1"/>
  <c r="P79" i="2" a="1"/>
  <c r="P79" i="2"/>
  <c r="Q79" i="2"/>
  <c r="R79" i="2" a="1"/>
  <c r="R79" i="2"/>
  <c r="S79" i="2" a="1"/>
  <c r="S79" i="2"/>
  <c r="O80" i="2" a="1"/>
  <c r="O80" i="2"/>
  <c r="N80" i="2" s="1"/>
  <c r="P80" i="2" a="1"/>
  <c r="P80" i="2"/>
  <c r="Q80" i="2"/>
  <c r="R80" i="2" a="1"/>
  <c r="R80" i="2"/>
  <c r="S80" i="2" a="1"/>
  <c r="S80" i="2"/>
  <c r="O81" i="2" a="1"/>
  <c r="O81" i="2"/>
  <c r="N81" i="2" s="1"/>
  <c r="P81" i="2" a="1"/>
  <c r="P81" i="2"/>
  <c r="Q81" i="2"/>
  <c r="R81" i="2" a="1"/>
  <c r="R81" i="2"/>
  <c r="S81" i="2" a="1"/>
  <c r="S81" i="2"/>
  <c r="O82" i="2" a="1"/>
  <c r="O82" i="2"/>
  <c r="N82" i="2" s="1"/>
  <c r="P82" i="2" a="1"/>
  <c r="P82" i="2"/>
  <c r="Q82" i="2"/>
  <c r="R82" i="2" a="1"/>
  <c r="R82" i="2"/>
  <c r="S82" i="2" a="1"/>
  <c r="S82" i="2"/>
  <c r="O83" i="2" a="1"/>
  <c r="O83" i="2"/>
  <c r="N83" i="2" s="1"/>
  <c r="P83" i="2" a="1"/>
  <c r="P83" i="2"/>
  <c r="Q83" i="2"/>
  <c r="R83" i="2" a="1"/>
  <c r="R83" i="2"/>
  <c r="S83" i="2" a="1"/>
  <c r="S83" i="2"/>
  <c r="O84" i="2" a="1"/>
  <c r="O84" i="2"/>
  <c r="N84" i="2" s="1"/>
  <c r="P84" i="2" a="1"/>
  <c r="P84" i="2"/>
  <c r="Q84" i="2"/>
  <c r="R84" i="2" a="1"/>
  <c r="R84" i="2"/>
  <c r="S84" i="2" a="1"/>
  <c r="S84" i="2"/>
  <c r="O85" i="2" a="1"/>
  <c r="O85" i="2"/>
  <c r="N85" i="2" s="1"/>
  <c r="P85" i="2" a="1"/>
  <c r="P85" i="2"/>
  <c r="Q85" i="2"/>
  <c r="R85" i="2" a="1"/>
  <c r="R85" i="2"/>
  <c r="S85" i="2" a="1"/>
  <c r="S85" i="2"/>
  <c r="O86" i="2" a="1"/>
  <c r="O86" i="2"/>
  <c r="N86" i="2" s="1"/>
  <c r="P86" i="2" a="1"/>
  <c r="P86" i="2"/>
  <c r="Q86" i="2"/>
  <c r="R86" i="2" a="1"/>
  <c r="R86" i="2"/>
  <c r="S86" i="2" a="1"/>
  <c r="S86" i="2"/>
  <c r="O87" i="2" a="1"/>
  <c r="O87" i="2"/>
  <c r="N87" i="2" s="1"/>
  <c r="P87" i="2" a="1"/>
  <c r="P87" i="2"/>
  <c r="Q87" i="2"/>
  <c r="R87" i="2" a="1"/>
  <c r="R87" i="2"/>
  <c r="S87" i="2" a="1"/>
  <c r="S87" i="2"/>
  <c r="O88" i="2" a="1"/>
  <c r="O88" i="2"/>
  <c r="N88" i="2" s="1"/>
  <c r="P88" i="2" a="1"/>
  <c r="P88" i="2"/>
  <c r="Q88" i="2"/>
  <c r="R88" i="2" a="1"/>
  <c r="R88" i="2"/>
  <c r="S88" i="2" a="1"/>
  <c r="S88" i="2"/>
  <c r="O89" i="2" a="1"/>
  <c r="O89" i="2"/>
  <c r="N89" i="2" s="1"/>
  <c r="P89" i="2" a="1"/>
  <c r="P89" i="2"/>
  <c r="Q89" i="2"/>
  <c r="R89" i="2" a="1"/>
  <c r="R89" i="2"/>
  <c r="S89" i="2" a="1"/>
  <c r="S89" i="2"/>
  <c r="O90" i="2" a="1"/>
  <c r="O90" i="2"/>
  <c r="N90" i="2" s="1"/>
  <c r="P90" i="2" a="1"/>
  <c r="P90" i="2"/>
  <c r="Q90" i="2"/>
  <c r="R90" i="2" a="1"/>
  <c r="R90" i="2"/>
  <c r="S90" i="2" a="1"/>
  <c r="S90" i="2"/>
  <c r="O91" i="2" a="1"/>
  <c r="O91" i="2"/>
  <c r="N91" i="2" s="1"/>
  <c r="P91" i="2" a="1"/>
  <c r="P91" i="2"/>
  <c r="Q91" i="2"/>
  <c r="R91" i="2" a="1"/>
  <c r="R91" i="2"/>
  <c r="S91" i="2" a="1"/>
  <c r="S91" i="2"/>
  <c r="O92" i="2" a="1"/>
  <c r="O92" i="2"/>
  <c r="N92" i="2" s="1"/>
  <c r="P92" i="2" a="1"/>
  <c r="P92" i="2"/>
  <c r="Q92" i="2"/>
  <c r="R92" i="2" a="1"/>
  <c r="R92" i="2"/>
  <c r="S92" i="2" a="1"/>
  <c r="S92" i="2"/>
  <c r="O93" i="2" a="1"/>
  <c r="O93" i="2"/>
  <c r="N93" i="2" s="1"/>
  <c r="P93" i="2" a="1"/>
  <c r="P93" i="2"/>
  <c r="Q93" i="2"/>
  <c r="R93" i="2" a="1"/>
  <c r="R93" i="2"/>
  <c r="S93" i="2" a="1"/>
  <c r="S93" i="2"/>
  <c r="O94" i="2" a="1"/>
  <c r="O94" i="2"/>
  <c r="N94" i="2" s="1"/>
  <c r="P94" i="2" a="1"/>
  <c r="P94" i="2"/>
  <c r="Q94" i="2"/>
  <c r="R94" i="2" a="1"/>
  <c r="R94" i="2"/>
  <c r="S94" i="2" a="1"/>
  <c r="S94" i="2"/>
  <c r="O95" i="2" a="1"/>
  <c r="O95" i="2"/>
  <c r="N95" i="2" s="1"/>
  <c r="P95" i="2" a="1"/>
  <c r="P95" i="2"/>
  <c r="Q95" i="2"/>
  <c r="R95" i="2" a="1"/>
  <c r="R95" i="2"/>
  <c r="S95" i="2" a="1"/>
  <c r="S95" i="2"/>
  <c r="O96" i="2" a="1"/>
  <c r="O96" i="2"/>
  <c r="N96" i="2" s="1"/>
  <c r="P96" i="2" a="1"/>
  <c r="P96" i="2"/>
  <c r="Q96" i="2"/>
  <c r="R96" i="2" a="1"/>
  <c r="R96" i="2"/>
  <c r="S96" i="2" a="1"/>
  <c r="S96" i="2"/>
  <c r="O97" i="2" a="1"/>
  <c r="O97" i="2"/>
  <c r="N97" i="2" s="1"/>
  <c r="P97" i="2" a="1"/>
  <c r="P97" i="2"/>
  <c r="Q97" i="2"/>
  <c r="R97" i="2" a="1"/>
  <c r="R97" i="2"/>
  <c r="S97" i="2" a="1"/>
  <c r="S97" i="2"/>
  <c r="O98" i="2" a="1"/>
  <c r="O98" i="2"/>
  <c r="N98" i="2" s="1"/>
  <c r="P98" i="2" a="1"/>
  <c r="P98" i="2"/>
  <c r="Q98" i="2"/>
  <c r="R98" i="2" a="1"/>
  <c r="R98" i="2"/>
  <c r="S98" i="2" a="1"/>
  <c r="S98" i="2"/>
  <c r="O99" i="2" a="1"/>
  <c r="O99" i="2"/>
  <c r="N99" i="2" s="1"/>
  <c r="P99" i="2" a="1"/>
  <c r="P99" i="2"/>
  <c r="Q99" i="2"/>
  <c r="R99" i="2" a="1"/>
  <c r="R99" i="2"/>
  <c r="S99" i="2" a="1"/>
  <c r="S99" i="2"/>
  <c r="O100" i="2" a="1"/>
  <c r="O100" i="2"/>
  <c r="N100" i="2" s="1"/>
  <c r="P100" i="2" a="1"/>
  <c r="P100" i="2"/>
  <c r="Q100" i="2"/>
  <c r="R100" i="2" a="1"/>
  <c r="R100" i="2"/>
  <c r="S100" i="2" a="1"/>
  <c r="S100" i="2"/>
  <c r="O101" i="2" a="1"/>
  <c r="O101" i="2"/>
  <c r="N101" i="2" s="1"/>
  <c r="P101" i="2" a="1"/>
  <c r="P101" i="2"/>
  <c r="Q101" i="2"/>
  <c r="R101" i="2" a="1"/>
  <c r="R101" i="2"/>
  <c r="S101" i="2" a="1"/>
  <c r="S101" i="2"/>
  <c r="O102" i="2" a="1"/>
  <c r="O102" i="2"/>
  <c r="N102" i="2" s="1"/>
  <c r="P102" i="2" a="1"/>
  <c r="P102" i="2"/>
  <c r="Q102" i="2"/>
  <c r="R102" i="2" a="1"/>
  <c r="R102" i="2"/>
  <c r="S102" i="2" a="1"/>
  <c r="S102" i="2"/>
  <c r="O103" i="2" a="1"/>
  <c r="O103" i="2"/>
  <c r="N103" i="2" s="1"/>
  <c r="P103" i="2" a="1"/>
  <c r="P103" i="2"/>
  <c r="Q103" i="2"/>
  <c r="R103" i="2" a="1"/>
  <c r="R103" i="2"/>
  <c r="S103" i="2" a="1"/>
  <c r="S103" i="2"/>
  <c r="O104" i="2" a="1"/>
  <c r="O104" i="2"/>
  <c r="N104" i="2" s="1"/>
  <c r="P104" i="2" a="1"/>
  <c r="P104" i="2"/>
  <c r="Q104" i="2"/>
  <c r="R104" i="2" a="1"/>
  <c r="R104" i="2"/>
  <c r="S104" i="2" a="1"/>
  <c r="S104" i="2"/>
  <c r="O105" i="2" a="1"/>
  <c r="O105" i="2"/>
  <c r="N105" i="2" s="1"/>
  <c r="P105" i="2" a="1"/>
  <c r="P105" i="2"/>
  <c r="Q105" i="2"/>
  <c r="R105" i="2" a="1"/>
  <c r="R105" i="2"/>
  <c r="S105" i="2" a="1"/>
  <c r="S105" i="2"/>
  <c r="O106" i="2" a="1"/>
  <c r="O106" i="2"/>
  <c r="N106" i="2" s="1"/>
  <c r="P106" i="2" a="1"/>
  <c r="P106" i="2"/>
  <c r="Q106" i="2"/>
  <c r="R106" i="2" a="1"/>
  <c r="R106" i="2"/>
  <c r="S106" i="2" a="1"/>
  <c r="S106" i="2"/>
  <c r="O107" i="2" a="1"/>
  <c r="O107" i="2"/>
  <c r="N107" i="2" s="1"/>
  <c r="P107" i="2" a="1"/>
  <c r="P107" i="2"/>
  <c r="Q107" i="2"/>
  <c r="R107" i="2" a="1"/>
  <c r="R107" i="2"/>
  <c r="S107" i="2" a="1"/>
  <c r="S107" i="2"/>
  <c r="O108" i="2" a="1"/>
  <c r="O108" i="2"/>
  <c r="N108" i="2" s="1"/>
  <c r="P108" i="2" a="1"/>
  <c r="P108" i="2"/>
  <c r="Q108" i="2"/>
  <c r="R108" i="2" a="1"/>
  <c r="R108" i="2"/>
  <c r="S108" i="2" a="1"/>
  <c r="S108" i="2"/>
  <c r="O109" i="2" a="1"/>
  <c r="O109" i="2"/>
  <c r="N109" i="2" s="1"/>
  <c r="P109" i="2" a="1"/>
  <c r="P109" i="2"/>
  <c r="Q109" i="2"/>
  <c r="R109" i="2" a="1"/>
  <c r="R109" i="2"/>
  <c r="S109" i="2" a="1"/>
  <c r="S109" i="2"/>
  <c r="O110" i="2" a="1"/>
  <c r="O110" i="2"/>
  <c r="N110" i="2" s="1"/>
  <c r="P110" i="2" a="1"/>
  <c r="P110" i="2"/>
  <c r="Q110" i="2"/>
  <c r="R110" i="2" a="1"/>
  <c r="R110" i="2"/>
  <c r="S110" i="2" a="1"/>
  <c r="S110" i="2"/>
  <c r="O111" i="2" a="1"/>
  <c r="O111" i="2"/>
  <c r="N111" i="2" s="1"/>
  <c r="P111" i="2" a="1"/>
  <c r="P111" i="2"/>
  <c r="Q111" i="2"/>
  <c r="R111" i="2" a="1"/>
  <c r="R111" i="2"/>
  <c r="S111" i="2" a="1"/>
  <c r="S111" i="2"/>
  <c r="O112" i="2" a="1"/>
  <c r="O112" i="2"/>
  <c r="N112" i="2" s="1"/>
  <c r="P112" i="2" a="1"/>
  <c r="P112" i="2"/>
  <c r="Q112" i="2"/>
  <c r="R112" i="2" a="1"/>
  <c r="R112" i="2"/>
  <c r="S112" i="2" a="1"/>
  <c r="S112" i="2"/>
  <c r="O113" i="2" a="1"/>
  <c r="O113" i="2"/>
  <c r="N113" i="2" s="1"/>
  <c r="P113" i="2" a="1"/>
  <c r="P113" i="2"/>
  <c r="Q113" i="2"/>
  <c r="R113" i="2" a="1"/>
  <c r="R113" i="2"/>
  <c r="S113" i="2" a="1"/>
  <c r="S113" i="2"/>
  <c r="O114" i="2" a="1"/>
  <c r="O114" i="2"/>
  <c r="N114" i="2" s="1"/>
  <c r="P114" i="2" a="1"/>
  <c r="P114" i="2"/>
  <c r="Q114" i="2"/>
  <c r="R114" i="2" a="1"/>
  <c r="R114" i="2"/>
  <c r="S114" i="2" a="1"/>
  <c r="S114" i="2"/>
  <c r="O115" i="2" a="1"/>
  <c r="O115" i="2"/>
  <c r="N115" i="2" s="1"/>
  <c r="P115" i="2" a="1"/>
  <c r="P115" i="2"/>
  <c r="Q115" i="2"/>
  <c r="R115" i="2" a="1"/>
  <c r="R115" i="2"/>
  <c r="S115" i="2" a="1"/>
  <c r="S115" i="2"/>
  <c r="O116" i="2" a="1"/>
  <c r="O116" i="2"/>
  <c r="N116" i="2" s="1"/>
  <c r="P116" i="2" a="1"/>
  <c r="P116" i="2"/>
  <c r="Q116" i="2"/>
  <c r="R116" i="2" a="1"/>
  <c r="R116" i="2"/>
  <c r="S116" i="2" a="1"/>
  <c r="S116" i="2"/>
  <c r="O117" i="2" a="1"/>
  <c r="O117" i="2"/>
  <c r="N117" i="2" s="1"/>
  <c r="P117" i="2" a="1"/>
  <c r="P117" i="2"/>
  <c r="Q117" i="2"/>
  <c r="R117" i="2" a="1"/>
  <c r="R117" i="2"/>
  <c r="S117" i="2" a="1"/>
  <c r="S117" i="2"/>
  <c r="O118" i="2" a="1"/>
  <c r="O118" i="2"/>
  <c r="N118" i="2" s="1"/>
  <c r="P118" i="2" a="1"/>
  <c r="P118" i="2"/>
  <c r="Q118" i="2"/>
  <c r="R118" i="2" a="1"/>
  <c r="R118" i="2"/>
  <c r="S118" i="2" a="1"/>
  <c r="S118" i="2"/>
  <c r="O119" i="2" a="1"/>
  <c r="O119" i="2"/>
  <c r="N119" i="2" s="1"/>
  <c r="P119" i="2" a="1"/>
  <c r="P119" i="2"/>
  <c r="Q119" i="2"/>
  <c r="R119" i="2" a="1"/>
  <c r="R119" i="2"/>
  <c r="S119" i="2" a="1"/>
  <c r="S119" i="2"/>
  <c r="O120" i="2" a="1"/>
  <c r="O120" i="2"/>
  <c r="N120" i="2" s="1"/>
  <c r="P120" i="2" a="1"/>
  <c r="P120" i="2"/>
  <c r="Q120" i="2"/>
  <c r="R120" i="2" a="1"/>
  <c r="R120" i="2"/>
  <c r="S120" i="2" a="1"/>
  <c r="S120" i="2"/>
  <c r="O121" i="2" a="1"/>
  <c r="O121" i="2"/>
  <c r="N121" i="2" s="1"/>
  <c r="P121" i="2" a="1"/>
  <c r="P121" i="2"/>
  <c r="Q121" i="2"/>
  <c r="R121" i="2" a="1"/>
  <c r="R121" i="2"/>
  <c r="S121" i="2" a="1"/>
  <c r="S121" i="2"/>
  <c r="O122" i="2" a="1"/>
  <c r="O122" i="2"/>
  <c r="N122" i="2" s="1"/>
  <c r="P122" i="2" a="1"/>
  <c r="P122" i="2"/>
  <c r="Q122" i="2"/>
  <c r="R122" i="2" a="1"/>
  <c r="R122" i="2"/>
  <c r="S122" i="2" a="1"/>
  <c r="S122" i="2"/>
  <c r="O123" i="2" a="1"/>
  <c r="O123" i="2"/>
  <c r="N123" i="2" s="1"/>
  <c r="P123" i="2" a="1"/>
  <c r="P123" i="2"/>
  <c r="Q123" i="2"/>
  <c r="R123" i="2" a="1"/>
  <c r="R123" i="2"/>
  <c r="S123" i="2" a="1"/>
  <c r="S123" i="2"/>
  <c r="O124" i="2" a="1"/>
  <c r="O124" i="2"/>
  <c r="N124" i="2" s="1"/>
  <c r="P124" i="2" a="1"/>
  <c r="P124" i="2"/>
  <c r="Q124" i="2"/>
  <c r="R124" i="2" a="1"/>
  <c r="R124" i="2"/>
  <c r="S124" i="2" a="1"/>
  <c r="S124" i="2"/>
  <c r="O125" i="2" a="1"/>
  <c r="O125" i="2"/>
  <c r="N125" i="2" s="1"/>
  <c r="P125" i="2" a="1"/>
  <c r="P125" i="2"/>
  <c r="Q125" i="2"/>
  <c r="R125" i="2" a="1"/>
  <c r="R125" i="2"/>
  <c r="S125" i="2" a="1"/>
  <c r="S125" i="2"/>
  <c r="O126" i="2" a="1"/>
  <c r="O126" i="2"/>
  <c r="N126" i="2" s="1"/>
  <c r="P126" i="2" a="1"/>
  <c r="P126" i="2"/>
  <c r="Q126" i="2"/>
  <c r="R126" i="2" a="1"/>
  <c r="R126" i="2"/>
  <c r="S126" i="2" a="1"/>
  <c r="S126" i="2"/>
  <c r="O127" i="2" a="1"/>
  <c r="O127" i="2"/>
  <c r="N127" i="2" s="1"/>
  <c r="P127" i="2" a="1"/>
  <c r="P127" i="2"/>
  <c r="Q127" i="2"/>
  <c r="R127" i="2" a="1"/>
  <c r="R127" i="2"/>
  <c r="S127" i="2" a="1"/>
  <c r="S127" i="2"/>
  <c r="O128" i="2" a="1"/>
  <c r="O128" i="2"/>
  <c r="N128" i="2" s="1"/>
  <c r="P128" i="2" a="1"/>
  <c r="P128" i="2"/>
  <c r="Q128" i="2"/>
  <c r="R128" i="2" a="1"/>
  <c r="R128" i="2"/>
  <c r="S128" i="2" a="1"/>
  <c r="S128" i="2"/>
  <c r="O129" i="2" a="1"/>
  <c r="O129" i="2"/>
  <c r="N129" i="2" s="1"/>
  <c r="P129" i="2" a="1"/>
  <c r="P129" i="2"/>
  <c r="Q129" i="2"/>
  <c r="R129" i="2" a="1"/>
  <c r="R129" i="2"/>
  <c r="S129" i="2" a="1"/>
  <c r="S129" i="2"/>
  <c r="O130" i="2" a="1"/>
  <c r="O130" i="2"/>
  <c r="N130" i="2" s="1"/>
  <c r="P130" i="2" a="1"/>
  <c r="P130" i="2"/>
  <c r="Q130" i="2"/>
  <c r="R130" i="2" a="1"/>
  <c r="R130" i="2"/>
  <c r="S130" i="2" a="1"/>
  <c r="S130" i="2"/>
  <c r="O131" i="2" a="1"/>
  <c r="O131" i="2"/>
  <c r="N131" i="2" s="1"/>
  <c r="P131" i="2" a="1"/>
  <c r="P131" i="2"/>
  <c r="Q131" i="2"/>
  <c r="R131" i="2" a="1"/>
  <c r="R131" i="2"/>
  <c r="S131" i="2" a="1"/>
  <c r="S131" i="2"/>
  <c r="O132" i="2" a="1"/>
  <c r="O132" i="2"/>
  <c r="N132" i="2" s="1"/>
  <c r="P132" i="2" a="1"/>
  <c r="P132" i="2"/>
  <c r="Q132" i="2"/>
  <c r="R132" i="2" a="1"/>
  <c r="R132" i="2"/>
  <c r="S132" i="2" a="1"/>
  <c r="S132" i="2"/>
  <c r="O133" i="2" a="1"/>
  <c r="O133" i="2"/>
  <c r="N133" i="2" s="1"/>
  <c r="P133" i="2" a="1"/>
  <c r="P133" i="2"/>
  <c r="Q133" i="2"/>
  <c r="R133" i="2" a="1"/>
  <c r="R133" i="2"/>
  <c r="S133" i="2" a="1"/>
  <c r="S133" i="2"/>
  <c r="O134" i="2" a="1"/>
  <c r="O134" i="2"/>
  <c r="N134" i="2" s="1"/>
  <c r="P134" i="2" a="1"/>
  <c r="P134" i="2"/>
  <c r="Q134" i="2"/>
  <c r="R134" i="2" a="1"/>
  <c r="R134" i="2"/>
  <c r="S134" i="2" a="1"/>
  <c r="S134" i="2"/>
  <c r="O135" i="2" a="1"/>
  <c r="O135" i="2"/>
  <c r="N135" i="2" s="1"/>
  <c r="P135" i="2" a="1"/>
  <c r="P135" i="2"/>
  <c r="Q135" i="2"/>
  <c r="R135" i="2" a="1"/>
  <c r="R135" i="2"/>
  <c r="S135" i="2" a="1"/>
  <c r="S135" i="2"/>
  <c r="O136" i="2" a="1"/>
  <c r="O136" i="2"/>
  <c r="N136" i="2" s="1"/>
  <c r="P136" i="2" a="1"/>
  <c r="P136" i="2"/>
  <c r="Q136" i="2"/>
  <c r="R136" i="2" a="1"/>
  <c r="R136" i="2"/>
  <c r="S136" i="2" a="1"/>
  <c r="S136" i="2"/>
  <c r="O137" i="2" a="1"/>
  <c r="O137" i="2"/>
  <c r="N137" i="2" s="1"/>
  <c r="P137" i="2" a="1"/>
  <c r="P137" i="2"/>
  <c r="Q137" i="2"/>
  <c r="R137" i="2" a="1"/>
  <c r="R137" i="2"/>
  <c r="S137" i="2" a="1"/>
  <c r="S137" i="2"/>
  <c r="O138" i="2" a="1"/>
  <c r="O138" i="2"/>
  <c r="N138" i="2" s="1"/>
  <c r="P138" i="2" a="1"/>
  <c r="P138" i="2"/>
  <c r="Q138" i="2"/>
  <c r="R138" i="2" a="1"/>
  <c r="R138" i="2"/>
  <c r="S138" i="2" a="1"/>
  <c r="S138" i="2"/>
  <c r="O139" i="2" a="1"/>
  <c r="O139" i="2"/>
  <c r="N139" i="2" s="1"/>
  <c r="P139" i="2" a="1"/>
  <c r="P139" i="2"/>
  <c r="Q139" i="2"/>
  <c r="R139" i="2" a="1"/>
  <c r="R139" i="2"/>
  <c r="S139" i="2" a="1"/>
  <c r="S139" i="2"/>
  <c r="O140" i="2" a="1"/>
  <c r="O140" i="2"/>
  <c r="N140" i="2" s="1"/>
  <c r="P140" i="2" a="1"/>
  <c r="P140" i="2"/>
  <c r="Q140" i="2"/>
  <c r="R140" i="2" a="1"/>
  <c r="R140" i="2"/>
  <c r="S140" i="2" a="1"/>
  <c r="S140" i="2"/>
  <c r="O141" i="2" a="1"/>
  <c r="O141" i="2"/>
  <c r="N141" i="2" s="1"/>
  <c r="P141" i="2" a="1"/>
  <c r="P141" i="2"/>
  <c r="Q141" i="2"/>
  <c r="R141" i="2" a="1"/>
  <c r="R141" i="2"/>
  <c r="S141" i="2" a="1"/>
  <c r="S141" i="2"/>
  <c r="O142" i="2" a="1"/>
  <c r="O142" i="2"/>
  <c r="N142" i="2" s="1"/>
  <c r="P142" i="2" a="1"/>
  <c r="P142" i="2"/>
  <c r="Q142" i="2"/>
  <c r="R142" i="2" a="1"/>
  <c r="R142" i="2"/>
  <c r="S142" i="2" a="1"/>
  <c r="S142" i="2"/>
  <c r="O143" i="2" a="1"/>
  <c r="O143" i="2"/>
  <c r="N143" i="2" s="1"/>
  <c r="P143" i="2" a="1"/>
  <c r="P143" i="2"/>
  <c r="Q143" i="2"/>
  <c r="R143" i="2" a="1"/>
  <c r="R143" i="2"/>
  <c r="S143" i="2" a="1"/>
  <c r="S143" i="2"/>
  <c r="O144" i="2" a="1"/>
  <c r="O144" i="2"/>
  <c r="N144" i="2" s="1"/>
  <c r="P144" i="2" a="1"/>
  <c r="P144" i="2"/>
  <c r="Q144" i="2"/>
  <c r="R144" i="2" a="1"/>
  <c r="R144" i="2"/>
  <c r="S144" i="2" a="1"/>
  <c r="S144" i="2"/>
  <c r="O145" i="2" a="1"/>
  <c r="O145" i="2"/>
  <c r="N145" i="2" s="1"/>
  <c r="P145" i="2" a="1"/>
  <c r="P145" i="2"/>
  <c r="Q145" i="2"/>
  <c r="R145" i="2" a="1"/>
  <c r="R145" i="2"/>
  <c r="S145" i="2" a="1"/>
  <c r="S145" i="2"/>
  <c r="O146" i="2" a="1"/>
  <c r="O146" i="2"/>
  <c r="N146" i="2" s="1"/>
  <c r="P146" i="2" a="1"/>
  <c r="P146" i="2"/>
  <c r="Q146" i="2"/>
  <c r="R146" i="2" a="1"/>
  <c r="R146" i="2"/>
  <c r="S146" i="2" a="1"/>
  <c r="S146" i="2"/>
  <c r="O147" i="2" a="1"/>
  <c r="O147" i="2"/>
  <c r="N147" i="2" s="1"/>
  <c r="P147" i="2" a="1"/>
  <c r="P147" i="2"/>
  <c r="Q147" i="2"/>
  <c r="R147" i="2" a="1"/>
  <c r="R147" i="2"/>
  <c r="S147" i="2" a="1"/>
  <c r="S147" i="2"/>
  <c r="O148" i="2" a="1"/>
  <c r="O148" i="2"/>
  <c r="N148" i="2" s="1"/>
  <c r="P148" i="2" a="1"/>
  <c r="P148" i="2"/>
  <c r="Q148" i="2"/>
  <c r="R148" i="2" a="1"/>
  <c r="R148" i="2"/>
  <c r="S148" i="2" a="1"/>
  <c r="S148" i="2"/>
  <c r="O149" i="2" a="1"/>
  <c r="O149" i="2"/>
  <c r="N149" i="2" s="1"/>
  <c r="P149" i="2" a="1"/>
  <c r="P149" i="2"/>
  <c r="Q149" i="2"/>
  <c r="R149" i="2" a="1"/>
  <c r="R149" i="2"/>
  <c r="S149" i="2" a="1"/>
  <c r="S149" i="2"/>
  <c r="O150" i="2" a="1"/>
  <c r="O150" i="2"/>
  <c r="N150" i="2" s="1"/>
  <c r="P150" i="2" a="1"/>
  <c r="P150" i="2"/>
  <c r="Q150" i="2"/>
  <c r="R150" i="2" a="1"/>
  <c r="R150" i="2"/>
  <c r="S150" i="2" a="1"/>
  <c r="S150" i="2"/>
  <c r="O151" i="2" a="1"/>
  <c r="O151" i="2"/>
  <c r="N151" i="2" s="1"/>
  <c r="P151" i="2" a="1"/>
  <c r="P151" i="2"/>
  <c r="Q151" i="2"/>
  <c r="R151" i="2" a="1"/>
  <c r="R151" i="2"/>
  <c r="S151" i="2" a="1"/>
  <c r="S151" i="2"/>
  <c r="O152" i="2" a="1"/>
  <c r="O152" i="2"/>
  <c r="N152" i="2" s="1"/>
  <c r="P152" i="2" a="1"/>
  <c r="P152" i="2"/>
  <c r="Q152" i="2"/>
  <c r="R152" i="2" a="1"/>
  <c r="R152" i="2"/>
  <c r="S152" i="2" a="1"/>
  <c r="S152" i="2"/>
  <c r="O153" i="2" a="1"/>
  <c r="O153" i="2"/>
  <c r="N153" i="2" s="1"/>
  <c r="P153" i="2" a="1"/>
  <c r="P153" i="2"/>
  <c r="Q153" i="2"/>
  <c r="R153" i="2" a="1"/>
  <c r="R153" i="2"/>
  <c r="S153" i="2" a="1"/>
  <c r="S153" i="2"/>
  <c r="O154" i="2" a="1"/>
  <c r="O154" i="2"/>
  <c r="N154" i="2" s="1"/>
  <c r="P154" i="2" a="1"/>
  <c r="P154" i="2"/>
  <c r="Q154" i="2"/>
  <c r="R154" i="2" a="1"/>
  <c r="R154" i="2"/>
  <c r="S154" i="2" a="1"/>
  <c r="S154" i="2"/>
  <c r="O155" i="2" a="1"/>
  <c r="O155" i="2"/>
  <c r="N155" i="2" s="1"/>
  <c r="P155" i="2" a="1"/>
  <c r="P155" i="2"/>
  <c r="Q155" i="2"/>
  <c r="R155" i="2" a="1"/>
  <c r="R155" i="2"/>
  <c r="S155" i="2" a="1"/>
  <c r="S155" i="2"/>
  <c r="O156" i="2" a="1"/>
  <c r="O156" i="2"/>
  <c r="N156" i="2" s="1"/>
  <c r="P156" i="2" a="1"/>
  <c r="P156" i="2"/>
  <c r="Q156" i="2"/>
  <c r="R156" i="2" a="1"/>
  <c r="R156" i="2"/>
  <c r="S156" i="2" a="1"/>
  <c r="S156" i="2"/>
  <c r="O157" i="2" a="1"/>
  <c r="O157" i="2"/>
  <c r="N157" i="2" s="1"/>
  <c r="P157" i="2" a="1"/>
  <c r="P157" i="2"/>
  <c r="Q157" i="2"/>
  <c r="R157" i="2" a="1"/>
  <c r="R157" i="2"/>
  <c r="S157" i="2" a="1"/>
  <c r="S157" i="2"/>
  <c r="O158" i="2" a="1"/>
  <c r="O158" i="2"/>
  <c r="N158" i="2" s="1"/>
  <c r="P158" i="2" a="1"/>
  <c r="P158" i="2"/>
  <c r="Q158" i="2"/>
  <c r="R158" i="2" a="1"/>
  <c r="R158" i="2"/>
  <c r="S158" i="2" a="1"/>
  <c r="S158" i="2"/>
  <c r="O159" i="2" a="1"/>
  <c r="O159" i="2"/>
  <c r="N159" i="2" s="1"/>
  <c r="P159" i="2" a="1"/>
  <c r="P159" i="2"/>
  <c r="Q159" i="2"/>
  <c r="R159" i="2" a="1"/>
  <c r="R159" i="2"/>
  <c r="S159" i="2" a="1"/>
  <c r="S159" i="2"/>
  <c r="O160" i="2" a="1"/>
  <c r="O160" i="2"/>
  <c r="N160" i="2" s="1"/>
  <c r="P160" i="2" a="1"/>
  <c r="P160" i="2"/>
  <c r="Q160" i="2"/>
  <c r="R160" i="2" a="1"/>
  <c r="R160" i="2"/>
  <c r="S160" i="2" a="1"/>
  <c r="S160" i="2"/>
  <c r="O161" i="2" a="1"/>
  <c r="O161" i="2"/>
  <c r="N161" i="2" s="1"/>
  <c r="P161" i="2" a="1"/>
  <c r="P161" i="2"/>
  <c r="Q161" i="2"/>
  <c r="R161" i="2" a="1"/>
  <c r="R161" i="2"/>
  <c r="S161" i="2" a="1"/>
  <c r="S161" i="2"/>
  <c r="O162" i="2" a="1"/>
  <c r="O162" i="2"/>
  <c r="N162" i="2" s="1"/>
  <c r="P162" i="2" a="1"/>
  <c r="P162" i="2"/>
  <c r="Q162" i="2"/>
  <c r="R162" i="2" a="1"/>
  <c r="R162" i="2"/>
  <c r="S162" i="2" a="1"/>
  <c r="S162" i="2"/>
  <c r="O163" i="2" a="1"/>
  <c r="O163" i="2"/>
  <c r="N163" i="2" s="1"/>
  <c r="P163" i="2" a="1"/>
  <c r="P163" i="2"/>
  <c r="Q163" i="2"/>
  <c r="R163" i="2" a="1"/>
  <c r="R163" i="2"/>
  <c r="S163" i="2" a="1"/>
  <c r="S163" i="2"/>
  <c r="O164" i="2" a="1"/>
  <c r="O164" i="2"/>
  <c r="N164" i="2" s="1"/>
  <c r="P164" i="2" a="1"/>
  <c r="P164" i="2"/>
  <c r="Q164" i="2"/>
  <c r="R164" i="2" a="1"/>
  <c r="R164" i="2"/>
  <c r="S164" i="2" a="1"/>
  <c r="S164" i="2"/>
  <c r="O165" i="2" a="1"/>
  <c r="O165" i="2"/>
  <c r="N165" i="2" s="1"/>
  <c r="P165" i="2" a="1"/>
  <c r="P165" i="2"/>
  <c r="Q165" i="2"/>
  <c r="R165" i="2" a="1"/>
  <c r="R165" i="2"/>
  <c r="S165" i="2" a="1"/>
  <c r="S165" i="2"/>
  <c r="O166" i="2" a="1"/>
  <c r="O166" i="2"/>
  <c r="N166" i="2" s="1"/>
  <c r="P166" i="2" a="1"/>
  <c r="P166" i="2"/>
  <c r="Q166" i="2"/>
  <c r="R166" i="2" a="1"/>
  <c r="R166" i="2"/>
  <c r="S166" i="2" a="1"/>
  <c r="S166" i="2"/>
  <c r="O167" i="2" a="1"/>
  <c r="O167" i="2"/>
  <c r="N167" i="2" s="1"/>
  <c r="P167" i="2" a="1"/>
  <c r="P167" i="2"/>
  <c r="Q167" i="2"/>
  <c r="R167" i="2" a="1"/>
  <c r="R167" i="2"/>
  <c r="S167" i="2" a="1"/>
  <c r="S167" i="2"/>
  <c r="O168" i="2" a="1"/>
  <c r="O168" i="2"/>
  <c r="N168" i="2" s="1"/>
  <c r="P168" i="2" a="1"/>
  <c r="P168" i="2"/>
  <c r="Q168" i="2"/>
  <c r="R168" i="2" a="1"/>
  <c r="R168" i="2"/>
  <c r="S168" i="2" a="1"/>
  <c r="S168" i="2"/>
  <c r="O169" i="2" a="1"/>
  <c r="O169" i="2"/>
  <c r="N169" i="2" s="1"/>
  <c r="P169" i="2" a="1"/>
  <c r="P169" i="2"/>
  <c r="Q169" i="2"/>
  <c r="R169" i="2" a="1"/>
  <c r="R169" i="2"/>
  <c r="S169" i="2" a="1"/>
  <c r="S169" i="2"/>
  <c r="O170" i="2" a="1"/>
  <c r="O170" i="2"/>
  <c r="N170" i="2" s="1"/>
  <c r="P170" i="2" a="1"/>
  <c r="P170" i="2"/>
  <c r="Q170" i="2"/>
  <c r="R170" i="2" a="1"/>
  <c r="R170" i="2"/>
  <c r="S170" i="2" a="1"/>
  <c r="S170" i="2"/>
  <c r="O7" i="2" a="1"/>
  <c r="O7" i="2"/>
  <c r="N7" i="2" s="1"/>
  <c r="P7" i="2" a="1"/>
  <c r="P7" i="2"/>
  <c r="Q7" i="2"/>
  <c r="R7" i="2" a="1"/>
  <c r="R7" i="2"/>
  <c r="S7" i="2" a="1"/>
  <c r="S7" i="2"/>
  <c r="O8" i="2" a="1"/>
  <c r="O8" i="2"/>
  <c r="N8" i="2" s="1"/>
  <c r="P8" i="2" a="1"/>
  <c r="P8" i="2"/>
  <c r="Q8" i="2"/>
  <c r="R8" i="2" a="1"/>
  <c r="R8" i="2"/>
  <c r="S8" i="2" a="1"/>
  <c r="S8" i="2"/>
  <c r="O9" i="2" a="1"/>
  <c r="O9" i="2"/>
  <c r="N9" i="2" s="1"/>
  <c r="P9" i="2" a="1"/>
  <c r="P9" i="2"/>
  <c r="Q9" i="2"/>
  <c r="R9" i="2" a="1"/>
  <c r="R9" i="2"/>
  <c r="S9" i="2" a="1"/>
  <c r="S9" i="2"/>
  <c r="O10" i="2" a="1"/>
  <c r="O10" i="2"/>
  <c r="N10" i="2" s="1"/>
  <c r="P10" i="2" a="1"/>
  <c r="P10" i="2"/>
  <c r="Q10" i="2"/>
  <c r="R10" i="2" a="1"/>
  <c r="R10" i="2"/>
  <c r="S10" i="2" a="1"/>
  <c r="S10" i="2"/>
  <c r="O11" i="2" a="1"/>
  <c r="O11" i="2"/>
  <c r="N11" i="2" s="1"/>
  <c r="P11" i="2" a="1"/>
  <c r="P11" i="2"/>
  <c r="Q11" i="2"/>
  <c r="R11" i="2" a="1"/>
  <c r="R11" i="2"/>
  <c r="S11" i="2" a="1"/>
  <c r="S11" i="2"/>
  <c r="O12" i="2" a="1"/>
  <c r="O12" i="2"/>
  <c r="N12" i="2" s="1"/>
  <c r="P12" i="2" a="1"/>
  <c r="P12" i="2"/>
  <c r="Q12" i="2"/>
  <c r="R12" i="2" a="1"/>
  <c r="R12" i="2"/>
  <c r="S12" i="2" a="1"/>
  <c r="S12" i="2"/>
  <c r="O13" i="2" a="1"/>
  <c r="O13" i="2"/>
  <c r="N13" i="2" s="1"/>
  <c r="P13" i="2" a="1"/>
  <c r="P13" i="2"/>
  <c r="Q13" i="2"/>
  <c r="R13" i="2" a="1"/>
  <c r="R13" i="2"/>
  <c r="S13" i="2" a="1"/>
  <c r="S13" i="2"/>
  <c r="O14" i="2" a="1"/>
  <c r="O14" i="2"/>
  <c r="N14" i="2" s="1"/>
  <c r="P14" i="2" a="1"/>
  <c r="P14" i="2"/>
  <c r="Q14" i="2"/>
  <c r="R14" i="2" a="1"/>
  <c r="R14" i="2"/>
  <c r="S14" i="2" a="1"/>
  <c r="S14" i="2"/>
  <c r="O15" i="2" a="1"/>
  <c r="O15" i="2"/>
  <c r="N15" i="2" s="1"/>
  <c r="P15" i="2" a="1"/>
  <c r="P15" i="2"/>
  <c r="Q15" i="2"/>
  <c r="R15" i="2" a="1"/>
  <c r="R15" i="2"/>
  <c r="S15" i="2" a="1"/>
  <c r="S15" i="2"/>
  <c r="O16" i="2" a="1"/>
  <c r="O16" i="2"/>
  <c r="N16" i="2" s="1"/>
  <c r="P16" i="2" a="1"/>
  <c r="P16" i="2"/>
  <c r="Q16" i="2"/>
  <c r="R16" i="2" a="1"/>
  <c r="R16" i="2"/>
  <c r="S16" i="2" a="1"/>
  <c r="S16" i="2"/>
  <c r="O17" i="2" a="1"/>
  <c r="O17" i="2"/>
  <c r="N17" i="2" s="1"/>
  <c r="P17" i="2" a="1"/>
  <c r="P17" i="2"/>
  <c r="Q17" i="2"/>
  <c r="R17" i="2" a="1"/>
  <c r="R17" i="2"/>
  <c r="S17" i="2" a="1"/>
  <c r="S17" i="2"/>
  <c r="O18" i="2" a="1"/>
  <c r="O18" i="2"/>
  <c r="N18" i="2" s="1"/>
  <c r="P18" i="2" a="1"/>
  <c r="P18" i="2"/>
  <c r="Q18" i="2"/>
  <c r="R18" i="2" a="1"/>
  <c r="R18" i="2"/>
  <c r="S18" i="2" a="1"/>
  <c r="S18" i="2"/>
  <c r="O19" i="2" a="1"/>
  <c r="O19" i="2"/>
  <c r="N19" i="2" s="1"/>
  <c r="P19" i="2" a="1"/>
  <c r="P19" i="2"/>
  <c r="Q19" i="2"/>
  <c r="R19" i="2" a="1"/>
  <c r="R19" i="2"/>
  <c r="S19" i="2" a="1"/>
  <c r="S19" i="2"/>
  <c r="O20" i="2" a="1"/>
  <c r="O20" i="2"/>
  <c r="N20" i="2" s="1"/>
  <c r="P20" i="2" a="1"/>
  <c r="P20" i="2"/>
  <c r="Q20" i="2"/>
  <c r="R20" i="2" a="1"/>
  <c r="R20" i="2"/>
  <c r="S20" i="2" a="1"/>
  <c r="S20" i="2"/>
  <c r="O21" i="2" a="1"/>
  <c r="O21" i="2"/>
  <c r="N21" i="2" s="1"/>
  <c r="P21" i="2" a="1"/>
  <c r="P21" i="2"/>
  <c r="Q21" i="2"/>
  <c r="R21" i="2" a="1"/>
  <c r="R21" i="2"/>
  <c r="S21" i="2" a="1"/>
  <c r="S21" i="2"/>
  <c r="O22" i="2" a="1"/>
  <c r="O22" i="2"/>
  <c r="N22" i="2" s="1"/>
  <c r="P22" i="2" a="1"/>
  <c r="P22" i="2"/>
  <c r="Q22" i="2"/>
  <c r="R22" i="2" a="1"/>
  <c r="R22" i="2"/>
  <c r="S22" i="2" a="1"/>
  <c r="S22" i="2"/>
  <c r="O23" i="2" a="1"/>
  <c r="O23" i="2"/>
  <c r="N23" i="2" s="1"/>
  <c r="P23" i="2" a="1"/>
  <c r="P23" i="2"/>
  <c r="Q23" i="2"/>
  <c r="R23" i="2" a="1"/>
  <c r="R23" i="2"/>
  <c r="S23" i="2" a="1"/>
  <c r="S23" i="2"/>
  <c r="O24" i="2" a="1"/>
  <c r="O24" i="2"/>
  <c r="N24" i="2" s="1"/>
  <c r="P24" i="2" a="1"/>
  <c r="P24" i="2"/>
  <c r="Q24" i="2"/>
  <c r="R24" i="2" a="1"/>
  <c r="R24" i="2"/>
  <c r="S24" i="2" a="1"/>
  <c r="S24" i="2"/>
  <c r="O25" i="2" a="1"/>
  <c r="O25" i="2"/>
  <c r="N25" i="2" s="1"/>
  <c r="P25" i="2" a="1"/>
  <c r="P25" i="2"/>
  <c r="Q25" i="2"/>
  <c r="R25" i="2" a="1"/>
  <c r="R25" i="2"/>
  <c r="S25" i="2" a="1"/>
  <c r="S25" i="2"/>
  <c r="O26" i="2" a="1"/>
  <c r="O26" i="2"/>
  <c r="N26" i="2" s="1"/>
  <c r="P26" i="2" a="1"/>
  <c r="P26" i="2"/>
  <c r="Q26" i="2"/>
  <c r="R26" i="2" a="1"/>
  <c r="R26" i="2"/>
  <c r="S26" i="2" a="1"/>
  <c r="S26" i="2"/>
  <c r="O27" i="2" a="1"/>
  <c r="O27" i="2"/>
  <c r="N27" i="2" s="1"/>
  <c r="P27" i="2" a="1"/>
  <c r="P27" i="2"/>
  <c r="Q27" i="2"/>
  <c r="R27" i="2" a="1"/>
  <c r="R27" i="2"/>
  <c r="S27" i="2" a="1"/>
  <c r="S27" i="2"/>
  <c r="O28" i="2" a="1"/>
  <c r="O28" i="2"/>
  <c r="N28" i="2" s="1"/>
  <c r="P28" i="2" a="1"/>
  <c r="P28" i="2"/>
  <c r="Q28" i="2"/>
  <c r="R28" i="2" a="1"/>
  <c r="R28" i="2"/>
  <c r="S28" i="2" a="1"/>
  <c r="S28" i="2"/>
  <c r="O29" i="2" a="1"/>
  <c r="O29" i="2"/>
  <c r="N29" i="2" s="1"/>
  <c r="P29" i="2" a="1"/>
  <c r="P29" i="2"/>
  <c r="Q29" i="2"/>
  <c r="R29" i="2" a="1"/>
  <c r="R29" i="2"/>
  <c r="S29" i="2" a="1"/>
  <c r="S29" i="2"/>
  <c r="O30" i="2" a="1"/>
  <c r="O30" i="2"/>
  <c r="N30" i="2" s="1"/>
  <c r="P30" i="2" a="1"/>
  <c r="P30" i="2"/>
  <c r="Q30" i="2"/>
  <c r="R30" i="2" a="1"/>
  <c r="R30" i="2"/>
  <c r="S30" i="2" a="1"/>
  <c r="S30" i="2"/>
  <c r="O31" i="2" a="1"/>
  <c r="O31" i="2"/>
  <c r="N31" i="2" s="1"/>
  <c r="P31" i="2" a="1"/>
  <c r="P31" i="2"/>
  <c r="Q31" i="2"/>
  <c r="R31" i="2" a="1"/>
  <c r="R31" i="2"/>
  <c r="S31" i="2" a="1"/>
  <c r="S31" i="2"/>
  <c r="O32" i="2" a="1"/>
  <c r="O32" i="2"/>
  <c r="N32" i="2" s="1"/>
  <c r="P32" i="2" a="1"/>
  <c r="P32" i="2"/>
  <c r="Q32" i="2"/>
  <c r="R32" i="2" a="1"/>
  <c r="R32" i="2"/>
  <c r="S32" i="2" a="1"/>
  <c r="S32" i="2"/>
  <c r="O33" i="2" a="1"/>
  <c r="O33" i="2"/>
  <c r="N33" i="2" s="1"/>
  <c r="P33" i="2" a="1"/>
  <c r="P33" i="2"/>
  <c r="Q33" i="2"/>
  <c r="R33" i="2" a="1"/>
  <c r="R33" i="2"/>
  <c r="S33" i="2" a="1"/>
  <c r="S33" i="2"/>
  <c r="O34" i="2" a="1"/>
  <c r="O34" i="2"/>
  <c r="N34" i="2" s="1"/>
  <c r="P34" i="2" a="1"/>
  <c r="P34" i="2"/>
  <c r="Q34" i="2"/>
  <c r="R34" i="2" a="1"/>
  <c r="R34" i="2"/>
  <c r="S34" i="2" a="1"/>
  <c r="S34" i="2"/>
  <c r="O35" i="2" a="1"/>
  <c r="O35" i="2"/>
  <c r="N35" i="2" s="1"/>
  <c r="P35" i="2" a="1"/>
  <c r="P35" i="2"/>
  <c r="Q35" i="2"/>
  <c r="R35" i="2" a="1"/>
  <c r="R35" i="2"/>
  <c r="S35" i="2" a="1"/>
  <c r="S35" i="2"/>
  <c r="O36" i="2" a="1"/>
  <c r="O36" i="2"/>
  <c r="N36" i="2" s="1"/>
  <c r="P36" i="2" a="1"/>
  <c r="P36" i="2"/>
  <c r="Q36" i="2"/>
  <c r="R36" i="2" a="1"/>
  <c r="R36" i="2"/>
  <c r="S36" i="2" a="1"/>
  <c r="S36" i="2"/>
  <c r="O37" i="2" a="1"/>
  <c r="O37" i="2"/>
  <c r="N37" i="2" s="1"/>
  <c r="P37" i="2" a="1"/>
  <c r="P37" i="2"/>
  <c r="Q37" i="2"/>
  <c r="R37" i="2" a="1"/>
  <c r="R37" i="2"/>
  <c r="S37" i="2" a="1"/>
  <c r="S37" i="2"/>
  <c r="O38" i="2" a="1"/>
  <c r="O38" i="2"/>
  <c r="N38" i="2" s="1"/>
  <c r="P38" i="2" a="1"/>
  <c r="P38" i="2"/>
  <c r="Q38" i="2"/>
  <c r="R38" i="2" a="1"/>
  <c r="R38" i="2"/>
  <c r="S38" i="2" a="1"/>
  <c r="S38" i="2"/>
  <c r="O39" i="2" a="1"/>
  <c r="O39" i="2"/>
  <c r="N39" i="2" s="1"/>
  <c r="P39" i="2" a="1"/>
  <c r="P39" i="2"/>
  <c r="Q39" i="2"/>
  <c r="R39" i="2" a="1"/>
  <c r="R39" i="2"/>
  <c r="S39" i="2" a="1"/>
  <c r="S39" i="2"/>
  <c r="O40" i="2" a="1"/>
  <c r="O40" i="2"/>
  <c r="N40" i="2" s="1"/>
  <c r="P40" i="2" a="1"/>
  <c r="P40" i="2"/>
  <c r="Q40" i="2"/>
  <c r="R40" i="2" a="1"/>
  <c r="R40" i="2"/>
  <c r="S40" i="2" a="1"/>
  <c r="S40" i="2"/>
  <c r="O41" i="2" a="1"/>
  <c r="O41" i="2"/>
  <c r="N41" i="2" s="1"/>
  <c r="P41" i="2" a="1"/>
  <c r="P41" i="2"/>
  <c r="Q41" i="2"/>
  <c r="R41" i="2" a="1"/>
  <c r="R41" i="2"/>
  <c r="S41" i="2" a="1"/>
  <c r="S41" i="2"/>
  <c r="O42" i="2" a="1"/>
  <c r="O42" i="2"/>
  <c r="N42" i="2" s="1"/>
  <c r="P42" i="2" a="1"/>
  <c r="P42" i="2"/>
  <c r="Q42" i="2"/>
  <c r="R42" i="2" a="1"/>
  <c r="R42" i="2"/>
  <c r="S42" i="2" a="1"/>
  <c r="S42" i="2"/>
  <c r="O43" i="2" a="1"/>
  <c r="O43" i="2"/>
  <c r="N43" i="2" s="1"/>
  <c r="P43" i="2" a="1"/>
  <c r="P43" i="2"/>
  <c r="Q43" i="2"/>
  <c r="R43" i="2" a="1"/>
  <c r="R43" i="2"/>
  <c r="S43" i="2" a="1"/>
  <c r="S43" i="2"/>
  <c r="O44" i="2" a="1"/>
  <c r="O44" i="2"/>
  <c r="N44" i="2" s="1"/>
  <c r="P44" i="2" a="1"/>
  <c r="P44" i="2"/>
  <c r="Q44" i="2"/>
  <c r="R44" i="2" a="1"/>
  <c r="R44" i="2"/>
  <c r="S44" i="2" a="1"/>
  <c r="S44" i="2"/>
  <c r="O45" i="2" a="1"/>
  <c r="O45" i="2"/>
  <c r="N45" i="2" s="1"/>
  <c r="P45" i="2" a="1"/>
  <c r="P45" i="2"/>
  <c r="Q45" i="2"/>
  <c r="R45" i="2" a="1"/>
  <c r="R45" i="2"/>
  <c r="S45" i="2" a="1"/>
  <c r="S45" i="2"/>
  <c r="O46" i="2" a="1"/>
  <c r="O46" i="2"/>
  <c r="N46" i="2" s="1"/>
  <c r="P46" i="2" a="1"/>
  <c r="P46" i="2"/>
  <c r="Q46" i="2"/>
  <c r="R46" i="2" a="1"/>
  <c r="R46" i="2"/>
  <c r="S46" i="2" a="1"/>
  <c r="S46" i="2"/>
  <c r="O47" i="2" a="1"/>
  <c r="O47" i="2"/>
  <c r="N47" i="2" s="1"/>
  <c r="P47" i="2" a="1"/>
  <c r="P47" i="2"/>
  <c r="Q47" i="2"/>
  <c r="R47" i="2" a="1"/>
  <c r="R47" i="2"/>
  <c r="S47" i="2" a="1"/>
  <c r="S47" i="2"/>
  <c r="O48" i="2" a="1"/>
  <c r="O48" i="2"/>
  <c r="N48" i="2" s="1"/>
  <c r="P48" i="2" a="1"/>
  <c r="P48" i="2"/>
  <c r="Q48" i="2"/>
  <c r="R48" i="2" a="1"/>
  <c r="R48" i="2"/>
  <c r="S48" i="2" a="1"/>
  <c r="S48" i="2"/>
  <c r="O49" i="2" a="1"/>
  <c r="O49" i="2"/>
  <c r="N49" i="2" s="1"/>
  <c r="P49" i="2" a="1"/>
  <c r="P49" i="2"/>
  <c r="Q49" i="2"/>
  <c r="R49" i="2" a="1"/>
  <c r="R49" i="2"/>
  <c r="S49" i="2" a="1"/>
  <c r="S49" i="2"/>
  <c r="O50" i="2" a="1"/>
  <c r="O50" i="2"/>
  <c r="N50" i="2" s="1"/>
  <c r="P50" i="2" a="1"/>
  <c r="P50" i="2"/>
  <c r="Q50" i="2"/>
  <c r="R50" i="2" a="1"/>
  <c r="R50" i="2"/>
  <c r="S50" i="2" a="1"/>
  <c r="S50" i="2"/>
  <c r="O51" i="2" a="1"/>
  <c r="O51" i="2"/>
  <c r="N51" i="2" s="1"/>
  <c r="P51" i="2" a="1"/>
  <c r="P51" i="2"/>
  <c r="Q51" i="2"/>
  <c r="R51" i="2" a="1"/>
  <c r="R51" i="2"/>
  <c r="S51" i="2" a="1"/>
  <c r="S51" i="2"/>
  <c r="O52" i="2" a="1"/>
  <c r="O52" i="2"/>
  <c r="N52" i="2" s="1"/>
  <c r="P52" i="2" a="1"/>
  <c r="P52" i="2"/>
  <c r="Q52" i="2"/>
  <c r="R52" i="2" a="1"/>
  <c r="R52" i="2"/>
  <c r="S52" i="2" a="1"/>
  <c r="S52" i="2"/>
  <c r="O53" i="2" a="1"/>
  <c r="O53" i="2"/>
  <c r="N53" i="2" s="1"/>
  <c r="P53" i="2" a="1"/>
  <c r="P53" i="2"/>
  <c r="Q53" i="2"/>
  <c r="R53" i="2" a="1"/>
  <c r="R53" i="2"/>
  <c r="S53" i="2" a="1"/>
  <c r="S53" i="2"/>
  <c r="O54" i="2" a="1"/>
  <c r="O54" i="2"/>
  <c r="N54" i="2" s="1"/>
  <c r="P54" i="2" a="1"/>
  <c r="P54" i="2"/>
  <c r="Q54" i="2"/>
  <c r="R54" i="2" a="1"/>
  <c r="R54" i="2"/>
  <c r="S54" i="2" a="1"/>
  <c r="S54" i="2"/>
  <c r="O55" i="2" a="1"/>
  <c r="O55" i="2"/>
  <c r="N55" i="2" s="1"/>
  <c r="P55" i="2" a="1"/>
  <c r="P55" i="2"/>
  <c r="Q55" i="2"/>
  <c r="R55" i="2" a="1"/>
  <c r="R55" i="2"/>
  <c r="S55" i="2" a="1"/>
  <c r="S55" i="2"/>
  <c r="O56" i="2" a="1"/>
  <c r="O56" i="2"/>
  <c r="N56" i="2" s="1"/>
  <c r="P56" i="2" a="1"/>
  <c r="P56" i="2"/>
  <c r="Q56" i="2"/>
  <c r="R56" i="2" a="1"/>
  <c r="R56" i="2"/>
  <c r="S56" i="2" a="1"/>
  <c r="S56" i="2"/>
  <c r="O57" i="2" a="1"/>
  <c r="O57" i="2"/>
  <c r="N57" i="2" s="1"/>
  <c r="P57" i="2" a="1"/>
  <c r="P57" i="2"/>
  <c r="Q57" i="2"/>
  <c r="R57" i="2" a="1"/>
  <c r="R57" i="2"/>
  <c r="S57" i="2" a="1"/>
  <c r="S57" i="2"/>
  <c r="O58" i="2" a="1"/>
  <c r="O58" i="2"/>
  <c r="N58" i="2" s="1"/>
  <c r="P58" i="2" a="1"/>
  <c r="P58" i="2"/>
  <c r="Q58" i="2"/>
  <c r="R58" i="2" a="1"/>
  <c r="R58" i="2"/>
  <c r="S58" i="2" a="1"/>
  <c r="S58" i="2"/>
  <c r="O59" i="2" a="1"/>
  <c r="O59" i="2"/>
  <c r="N59" i="2" s="1"/>
  <c r="P59" i="2" a="1"/>
  <c r="P59" i="2"/>
  <c r="Q59" i="2"/>
  <c r="R59" i="2" a="1"/>
  <c r="R59" i="2"/>
  <c r="S59" i="2" a="1"/>
  <c r="S59" i="2"/>
  <c r="O60" i="2" a="1"/>
  <c r="O60" i="2"/>
  <c r="N60" i="2" s="1"/>
  <c r="P60" i="2" a="1"/>
  <c r="P60" i="2"/>
  <c r="Q60" i="2"/>
  <c r="R60" i="2" a="1"/>
  <c r="R60" i="2"/>
  <c r="S60" i="2" a="1"/>
  <c r="S60" i="2"/>
  <c r="O61" i="2" a="1"/>
  <c r="O61" i="2"/>
  <c r="N61" i="2" s="1"/>
  <c r="P61" i="2" a="1"/>
  <c r="P61" i="2"/>
  <c r="Q61" i="2"/>
  <c r="R61" i="2" a="1"/>
  <c r="R61" i="2"/>
  <c r="S61" i="2" a="1"/>
  <c r="S61" i="2"/>
  <c r="O62" i="2" a="1"/>
  <c r="O62" i="2"/>
  <c r="N62" i="2" s="1"/>
  <c r="P62" i="2" a="1"/>
  <c r="P62" i="2"/>
  <c r="Q62" i="2"/>
  <c r="R62" i="2" a="1"/>
  <c r="R62" i="2"/>
  <c r="S62" i="2" a="1"/>
  <c r="S62" i="2"/>
  <c r="O63" i="2" a="1"/>
  <c r="O63" i="2"/>
  <c r="N63" i="2" s="1"/>
  <c r="P63" i="2" a="1"/>
  <c r="P63" i="2"/>
  <c r="Q63" i="2"/>
  <c r="R63" i="2" a="1"/>
  <c r="R63" i="2"/>
  <c r="S63" i="2" a="1"/>
  <c r="S63" i="2"/>
  <c r="O64" i="2" a="1"/>
  <c r="O64" i="2"/>
  <c r="N64" i="2" s="1"/>
  <c r="P64" i="2" a="1"/>
  <c r="P64" i="2"/>
  <c r="Q64" i="2"/>
  <c r="R64" i="2" a="1"/>
  <c r="R64" i="2"/>
  <c r="S64" i="2" a="1"/>
  <c r="S64" i="2"/>
  <c r="O65" i="2" a="1"/>
  <c r="O65" i="2"/>
  <c r="N65" i="2" s="1"/>
  <c r="P65" i="2" a="1"/>
  <c r="P65" i="2"/>
  <c r="Q65" i="2"/>
  <c r="R65" i="2" a="1"/>
  <c r="R65" i="2"/>
  <c r="S65" i="2" a="1"/>
  <c r="S65" i="2"/>
  <c r="O66" i="2" a="1"/>
  <c r="O66" i="2"/>
  <c r="N66" i="2" s="1"/>
  <c r="P66" i="2" a="1"/>
  <c r="P66" i="2"/>
  <c r="Q66" i="2"/>
  <c r="R66" i="2" a="1"/>
  <c r="R66" i="2"/>
  <c r="S66" i="2" a="1"/>
  <c r="S66" i="2"/>
  <c r="O67" i="2" a="1"/>
  <c r="O67" i="2"/>
  <c r="N67" i="2" s="1"/>
  <c r="P67" i="2" a="1"/>
  <c r="P67" i="2"/>
  <c r="Q67" i="2"/>
  <c r="R67" i="2" a="1"/>
  <c r="R67" i="2"/>
  <c r="S67" i="2" a="1"/>
  <c r="S67" i="2"/>
  <c r="O68" i="2" a="1"/>
  <c r="O68" i="2"/>
  <c r="N68" i="2" s="1"/>
  <c r="P68" i="2" a="1"/>
  <c r="P68" i="2"/>
  <c r="Q68" i="2"/>
  <c r="R68" i="2" a="1"/>
  <c r="R68" i="2"/>
  <c r="S68" i="2" a="1"/>
  <c r="S68" i="2"/>
  <c r="O69" i="2" a="1"/>
  <c r="O69" i="2"/>
  <c r="N69" i="2" s="1"/>
  <c r="P69" i="2" a="1"/>
  <c r="P69" i="2"/>
  <c r="Q69" i="2"/>
  <c r="R69" i="2" a="1"/>
  <c r="R69" i="2"/>
  <c r="S69" i="2" a="1"/>
  <c r="S69" i="2"/>
  <c r="O70" i="2" a="1"/>
  <c r="O70" i="2"/>
  <c r="N70" i="2" s="1"/>
  <c r="P70" i="2" a="1"/>
  <c r="P70" i="2"/>
  <c r="Q70" i="2"/>
  <c r="R70" i="2" a="1"/>
  <c r="R70" i="2"/>
  <c r="S70" i="2" a="1"/>
  <c r="S70" i="2"/>
  <c r="O71" i="2" a="1"/>
  <c r="O71" i="2"/>
  <c r="N71" i="2" s="1"/>
  <c r="P71" i="2" a="1"/>
  <c r="P71" i="2"/>
  <c r="Q71" i="2"/>
  <c r="R71" i="2" a="1"/>
  <c r="R71" i="2"/>
  <c r="S71" i="2" a="1"/>
  <c r="S71" i="2"/>
  <c r="O72" i="2" a="1"/>
  <c r="O72" i="2"/>
  <c r="N72" i="2" s="1"/>
  <c r="P72" i="2" a="1"/>
  <c r="P72" i="2"/>
  <c r="Q72" i="2"/>
  <c r="R72" i="2" a="1"/>
  <c r="R72" i="2"/>
  <c r="S72" i="2" a="1"/>
  <c r="S72" i="2"/>
  <c r="O73" i="2" a="1"/>
  <c r="O73" i="2"/>
  <c r="N73" i="2" s="1"/>
  <c r="P73" i="2" a="1"/>
  <c r="P73" i="2"/>
  <c r="Q73" i="2"/>
  <c r="R73" i="2" a="1"/>
  <c r="R73" i="2"/>
  <c r="S73" i="2" a="1"/>
  <c r="S73" i="2"/>
  <c r="O74" i="2" a="1"/>
  <c r="O74" i="2"/>
  <c r="N74" i="2" s="1"/>
  <c r="P74" i="2" a="1"/>
  <c r="P74" i="2"/>
  <c r="Q74" i="2"/>
  <c r="R74" i="2" a="1"/>
  <c r="R74" i="2"/>
  <c r="S74" i="2" a="1"/>
  <c r="S74" i="2"/>
  <c r="O75" i="2" a="1"/>
  <c r="O75" i="2"/>
  <c r="N75" i="2" s="1"/>
  <c r="P75" i="2" a="1"/>
  <c r="P75" i="2"/>
  <c r="Q75" i="2"/>
  <c r="R75" i="2" a="1"/>
  <c r="R75" i="2"/>
  <c r="S75" i="2" a="1"/>
  <c r="S75" i="2"/>
  <c r="O76" i="2" a="1"/>
  <c r="O76" i="2"/>
  <c r="N76" i="2" s="1"/>
  <c r="P76" i="2" a="1"/>
  <c r="P76" i="2"/>
  <c r="Q76" i="2"/>
  <c r="R76" i="2" a="1"/>
  <c r="R76" i="2"/>
  <c r="S76" i="2" a="1"/>
  <c r="S76" i="2"/>
  <c r="S6" i="2" a="1"/>
  <c r="S6" i="2"/>
  <c r="R6" i="2" a="1"/>
  <c r="R6" i="2"/>
  <c r="Q6" i="2"/>
  <c r="P6" i="2" a="1"/>
  <c r="P6" i="2"/>
  <c r="O6" i="2" a="1"/>
  <c r="O6" i="2"/>
  <c r="N6" i="2" s="1"/>
  <c r="O35" i="1"/>
  <c r="L36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M36" i="1"/>
  <c r="K36" i="1"/>
  <c r="X134" i="2" l="1"/>
  <c r="X128" i="2"/>
  <c r="N3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<sst xmlns="http://schemas.openxmlformats.org/spreadsheetml/2006/main" count="106" uniqueCount="84">
  <si>
    <t>EXPERIMENT - RACE</t>
  </si>
  <si>
    <t>EXPERIMENT - RUNDE</t>
  </si>
  <si>
    <t>LEGENDE</t>
  </si>
  <si>
    <t>ID X steht für LimeSurvey ID</t>
  </si>
  <si>
    <t>ID</t>
  </si>
  <si>
    <t>Name</t>
  </si>
  <si>
    <t>Erfahrung</t>
  </si>
  <si>
    <t>Hilfe</t>
  </si>
  <si>
    <t>Gesamtdauer</t>
  </si>
  <si>
    <t>AmL ID5</t>
  </si>
  <si>
    <t>Ohne Hilfe</t>
  </si>
  <si>
    <t>Keine Vorerfahrung</t>
  </si>
  <si>
    <t>ML ID7</t>
  </si>
  <si>
    <t>Mit Coach</t>
  </si>
  <si>
    <t>Vorerfahrung in einem anderen Rennspiel</t>
  </si>
  <si>
    <t>EL ID8</t>
  </si>
  <si>
    <t>Mit Fahrlinie</t>
  </si>
  <si>
    <t>Vorerfahrung in Forza Horizon</t>
  </si>
  <si>
    <t>MK ID11</t>
  </si>
  <si>
    <t>SS ID13</t>
  </si>
  <si>
    <t>LM ID21</t>
  </si>
  <si>
    <t>LW ID1</t>
  </si>
  <si>
    <t>JS ID2</t>
  </si>
  <si>
    <t>MH ID13</t>
  </si>
  <si>
    <t>NS ID4</t>
  </si>
  <si>
    <t>VK ID14</t>
  </si>
  <si>
    <t>AuL ID10</t>
  </si>
  <si>
    <t>BS ID12</t>
  </si>
  <si>
    <t>NB ID3</t>
  </si>
  <si>
    <t>AS ID6</t>
  </si>
  <si>
    <t>IA ID16</t>
  </si>
  <si>
    <t>MaL ID19</t>
  </si>
  <si>
    <t>NP ID20</t>
  </si>
  <si>
    <t>FW ID22</t>
  </si>
  <si>
    <t>In der DB fehlend</t>
  </si>
  <si>
    <t>In der BC unter dem Kürzel von lennard</t>
  </si>
  <si>
    <t>Ohne hilfe</t>
  </si>
  <si>
    <t>N=Anzahl Leute</t>
  </si>
  <si>
    <t xml:space="preserve">Mit coach </t>
  </si>
  <si>
    <t>Mit fahrlinie</t>
  </si>
  <si>
    <t>Tabelle 1:</t>
  </si>
  <si>
    <t>Tabelle 2:</t>
  </si>
  <si>
    <t>Rennen zu Rennen</t>
  </si>
  <si>
    <t>3*N Zeilen</t>
  </si>
  <si>
    <t>Output Var:</t>
  </si>
  <si>
    <t>Lap zu Lap</t>
  </si>
  <si>
    <t>3*5*N Zeilen</t>
  </si>
  <si>
    <t>Name/Pseudonym</t>
  </si>
  <si>
    <t>Welche Strecke</t>
  </si>
  <si>
    <t>Kart: Produkt (nachher nicht in den Datensatz einfügen!)</t>
  </si>
  <si>
    <t>Wie vieltes Rennen</t>
  </si>
  <si>
    <t>Welches Lap</t>
  </si>
  <si>
    <t>Lap dauer</t>
  </si>
  <si>
    <t>Ausprägungen:</t>
  </si>
  <si>
    <t>1,2,3</t>
  </si>
  <si>
    <t>1,2,3,4,5</t>
  </si>
  <si>
    <t>Spaltenkorrelationen:</t>
  </si>
  <si>
    <t>1:2+3</t>
  </si>
  <si>
    <t>Erkenntnisse:</t>
  </si>
  <si>
    <t>Wie haben zwei tabellen (siehe oben) mit den dargestellten Spalten und Zeilen</t>
  </si>
  <si>
    <t>Wie vieltes Rennen könnten wir reinnehmen, machen wir aber erstmal nicht</t>
  </si>
  <si>
    <t>Wir lassen alle leute erst das einfachste rennen fahren, dann am ende das schwerste</t>
  </si>
  <si>
    <t>Wir müssen uns an diese tabelle halten, damit es keineoder wenige Korrelationen zwischen den spalten gibt (siehe oben)</t>
  </si>
  <si>
    <t>Die Erfahrungen müssen gleichverteilt sein (7 leute 1, 7 leute 2, 7 leute 3)</t>
  </si>
  <si>
    <t>Zusätzlich zu diesen Daten können wir evtl subjektives feedback zum Driving coach aufnehmen</t>
  </si>
  <si>
    <t>Subjektives feedback: vor dem rennen "wie hoch sind deine erwartungen 1-10" und nach dem rennen "wie nützlich war es im endeffekt" und "wie nützlich war die summary" und wie viele rückfragen haben sie dem bot gestellt?</t>
  </si>
  <si>
    <t>TODOs:</t>
  </si>
  <si>
    <t>Experimente durchführen</t>
  </si>
  <si>
    <t>Personen nach skill klassifizieren</t>
  </si>
  <si>
    <t>Aufnahme von subjektivem feedback entscheiden</t>
  </si>
  <si>
    <t>Dritte strecke einarbeiten und segmentieren</t>
  </si>
  <si>
    <t>Person</t>
  </si>
  <si>
    <t>Amar</t>
  </si>
  <si>
    <t>Felix</t>
  </si>
  <si>
    <t>Etienne</t>
  </si>
  <si>
    <t>name</t>
  </si>
  <si>
    <t>id</t>
  </si>
  <si>
    <t>racetrack</t>
  </si>
  <si>
    <t>experience</t>
  </si>
  <si>
    <t>lap</t>
  </si>
  <si>
    <t>duration</t>
  </si>
  <si>
    <t>total_duration</t>
  </si>
  <si>
    <t>race_number</t>
  </si>
  <si>
    <t>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</si>
</sst>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0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20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46" fontId="0" fillId="0" borderId="0" xfId="0" applyNumberFormat="1"/>
    <xf numFmtId="2" fontId="0" fillId="0" borderId="5" xfId="0" applyNumberFormat="1" applyBorder="1"/>
    <xf numFmtId="2" fontId="0" fillId="0" borderId="8" xfId="0" applyNumberFormat="1" applyBorder="1"/>
    <xf numFmtId="10" fontId="0" fillId="0" borderId="0" xfId="1" applyNumberFormat="1" applyFont="1"/>
    <xf numFmtId="0" fontId="0" fillId="2" borderId="0" xfId="0" applyFill="1"/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Prozent" xfId="1" builtinId="5"/>
    <cellStyle name="Standard" xfId="0" builtinId="0"/>
  </cellStyles>
  <dxfs count="7">
    <dxf>
      <font>
        <color theme="1"/>
      </font>
      <fill>
        <patternFill patternType="solid">
          <bgColor theme="3" tint="0.89999084444715716"/>
        </patternFill>
      </fill>
    </dxf>
    <dxf>
      <font>
        <color theme="1"/>
      </font>
      <fill>
        <patternFill patternType="solid">
          <bgColor theme="3" tint="0.89999084444715716"/>
        </patternFill>
      </fill>
    </dxf>
    <dxf>
      <font>
        <color theme="1"/>
      </font>
      <fill>
        <patternFill patternType="solid">
          <bgColor theme="3" tint="0.89999084444715716"/>
        </patternFill>
      </fill>
    </dxf>
    <dxf>
      <font>
        <color theme="1"/>
      </font>
      <fill>
        <patternFill patternType="solid">
          <bgColor theme="3" tint="0.89999084444715716"/>
        </patternFill>
      </fill>
    </dxf>
    <dxf>
      <font>
        <color theme="1"/>
      </font>
      <fill>
        <patternFill patternType="solid">
          <bgColor theme="3" tint="0.89999084444715716"/>
        </patternFill>
      </fill>
    </dxf>
    <dxf>
      <font>
        <color theme="1"/>
      </font>
      <fill>
        <patternFill patternType="solid">
          <bgColor theme="3" tint="0.89999084444715716"/>
        </patternFill>
      </fill>
    </dxf>
    <dxf>
      <font>
        <color theme="1"/>
      </font>
      <fill>
        <patternFill patternType="solid"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7361-B424-4DBB-948D-A97C67E45BC3}">
  <dimension ref="A1:AA320"/>
  <sheetViews>
    <sheetView tabSelected="1" workbookViewId="0">
      <selection activeCell="R6" sqref="R6"/>
    </sheetView>
  </sheetViews>
  <sheetFormatPr baseColWidth="10" defaultColWidth="8.85546875" defaultRowHeight="15" x14ac:dyDescent="0.25"/>
  <cols>
    <col min="1" max="1" width="11.5703125" bestFit="1" customWidth="1"/>
    <col min="6" max="6" width="4.5703125" customWidth="1"/>
    <col min="7" max="7" width="9.7109375" bestFit="1" customWidth="1"/>
    <col min="8" max="8" width="10.5703125" bestFit="1" customWidth="1"/>
    <col min="9" max="9" width="10.42578125" bestFit="1" customWidth="1"/>
    <col min="10" max="10" width="12.5703125" bestFit="1" customWidth="1"/>
    <col min="11" max="11" width="13.42578125" bestFit="1" customWidth="1"/>
    <col min="16" max="16" width="9.7109375" bestFit="1" customWidth="1"/>
    <col min="17" max="17" width="4.140625" bestFit="1" customWidth="1"/>
    <col min="18" max="18" width="10.5703125" bestFit="1" customWidth="1"/>
    <col min="19" max="19" width="10.42578125" bestFit="1" customWidth="1"/>
    <col min="20" max="20" width="12.5703125" bestFit="1" customWidth="1"/>
    <col min="21" max="21" width="8.7109375" bestFit="1" customWidth="1"/>
    <col min="24" max="24" width="11.5703125" customWidth="1"/>
    <col min="25" max="25" width="2.42578125" bestFit="1" customWidth="1"/>
    <col min="26" max="26" width="1.42578125" customWidth="1"/>
    <col min="27" max="27" width="37.140625" bestFit="1" customWidth="1"/>
  </cols>
  <sheetData>
    <row r="1" spans="1:27" ht="15" customHeight="1" x14ac:dyDescent="0.25">
      <c r="E1" s="17" t="s">
        <v>0</v>
      </c>
      <c r="F1" s="17"/>
      <c r="G1" s="17"/>
      <c r="H1" s="17"/>
      <c r="I1" s="17"/>
      <c r="J1" s="17"/>
      <c r="K1" s="17"/>
      <c r="N1" s="17" t="s">
        <v>1</v>
      </c>
      <c r="O1" s="17"/>
      <c r="P1" s="17"/>
      <c r="Q1" s="17"/>
      <c r="R1" s="17"/>
      <c r="S1" s="17"/>
      <c r="T1" s="17"/>
      <c r="U1" s="17"/>
      <c r="X1" s="17" t="s">
        <v>2</v>
      </c>
      <c r="Y1" s="17"/>
      <c r="Z1" s="17"/>
      <c r="AA1" s="17"/>
    </row>
    <row r="2" spans="1:27" ht="15" customHeight="1" x14ac:dyDescent="0.25">
      <c r="E2" s="17"/>
      <c r="F2" s="17"/>
      <c r="G2" s="17"/>
      <c r="H2" s="17"/>
      <c r="I2" s="17"/>
      <c r="J2" s="17"/>
      <c r="K2" s="17"/>
      <c r="N2" s="17"/>
      <c r="O2" s="17"/>
      <c r="P2" s="17"/>
      <c r="Q2" s="17"/>
      <c r="R2" s="17"/>
      <c r="S2" s="17"/>
      <c r="T2" s="17"/>
      <c r="U2" s="17"/>
      <c r="X2" s="17"/>
      <c r="Y2" s="17"/>
      <c r="Z2" s="17"/>
      <c r="AA2" s="17"/>
    </row>
    <row r="4" spans="1:27" x14ac:dyDescent="0.25">
      <c r="A4" s="18" t="s">
        <v>3</v>
      </c>
      <c r="B4" s="18"/>
      <c r="C4" s="18"/>
    </row>
    <row r="5" spans="1:27" x14ac:dyDescent="0.25">
      <c r="A5" s="7" t="s">
        <v>4</v>
      </c>
      <c r="B5" s="8" t="s">
        <v>5</v>
      </c>
      <c r="C5" s="9" t="s">
        <v>6</v>
      </c>
      <c r="E5" s="7" t="s">
        <v>75</v>
      </c>
      <c r="F5" s="8" t="s">
        <v>76</v>
      </c>
      <c r="G5" s="8" t="s">
        <v>77</v>
      </c>
      <c r="H5" s="8" t="s">
        <v>83</v>
      </c>
      <c r="I5" s="8" t="s">
        <v>78</v>
      </c>
      <c r="J5" s="8" t="s">
        <v>82</v>
      </c>
      <c r="K5" s="9" t="s">
        <v>81</v>
      </c>
      <c r="N5" s="7" t="s">
        <v>75</v>
      </c>
      <c r="O5" s="8" t="s">
        <v>76</v>
      </c>
      <c r="P5" s="8" t="s">
        <v>77</v>
      </c>
      <c r="Q5" s="8" t="s">
        <v>79</v>
      </c>
      <c r="R5" s="8" t="s">
        <v>83</v>
      </c>
      <c r="S5" s="8" t="s">
        <v>78</v>
      </c>
      <c r="T5" s="8" t="s">
        <v>82</v>
      </c>
      <c r="U5" s="9" t="s">
        <v>80</v>
      </c>
      <c r="X5" s="7" t="s">
        <v>7</v>
      </c>
      <c r="Y5" s="8"/>
      <c r="Z5" s="8"/>
      <c r="AA5" s="9" t="s">
        <v>6</v>
      </c>
    </row>
    <row r="6" spans="1:27" x14ac:dyDescent="0.25">
      <c r="A6" s="2">
        <v>1</v>
      </c>
      <c r="B6" t="s">
        <v>9</v>
      </c>
      <c r="C6" s="3">
        <v>1</v>
      </c>
      <c r="E6" s="2" t="str">
        <f>INDEX($B$6:$B$26, MATCH(F6, $A$6:$A$26, 1))</f>
        <v>AmL ID5</v>
      </c>
      <c r="F6">
        <v>1</v>
      </c>
      <c r="G6">
        <v>1</v>
      </c>
      <c r="H6">
        <v>1</v>
      </c>
      <c r="I6">
        <v>1</v>
      </c>
      <c r="J6">
        <v>1</v>
      </c>
      <c r="K6" s="12">
        <f ca="1">SUM(OFFSET($U$6,(ROW()-6)*5,0,5,1))</f>
        <v>313.02000000000004</v>
      </c>
      <c r="L6" s="11"/>
      <c r="N6" s="2" t="str">
        <f>INDEX($B$6:$B$26, MATCH(O6, $A$6:$A$26, 0))</f>
        <v>AmL ID5</v>
      </c>
      <c r="O6" cm="1">
        <f t="array" ref="O6">INDEX($F$6:$F$68, INT((ROWS(O$6:O6)-1)/5)+1)</f>
        <v>1</v>
      </c>
      <c r="P6" cm="1">
        <f t="array" ref="P6">INDEX($G$6:$G$68, INT((ROWS(P$6:P6)-1)/5)+1)</f>
        <v>1</v>
      </c>
      <c r="Q6">
        <f>MOD(ROWS(Q$6:Q6)-1,5)+1</f>
        <v>1</v>
      </c>
      <c r="R6" cm="1">
        <f t="array" ref="R6">INDEX($H$6:$H$68, INT((ROWS(R$6:R6)-1)/5)+1)</f>
        <v>1</v>
      </c>
      <c r="S6" cm="1">
        <f t="array" ref="S6">INDEX($I$6:$I$68, INT((ROWS(S$6:S6)-1)/5)+1)</f>
        <v>1</v>
      </c>
      <c r="T6">
        <v>1</v>
      </c>
      <c r="U6" s="12">
        <v>60</v>
      </c>
      <c r="X6" s="2" t="s">
        <v>10</v>
      </c>
      <c r="Y6">
        <v>1</v>
      </c>
      <c r="AA6" s="3" t="s">
        <v>11</v>
      </c>
    </row>
    <row r="7" spans="1:27" x14ac:dyDescent="0.25">
      <c r="A7" s="2">
        <v>2</v>
      </c>
      <c r="B7" t="s">
        <v>12</v>
      </c>
      <c r="C7" s="3">
        <v>1</v>
      </c>
      <c r="E7" s="2" t="str">
        <f t="shared" ref="E7:E68" si="0">INDEX($B$6:$B$26, MATCH(F7, $A$6:$A$26, 1))</f>
        <v>AmL ID5</v>
      </c>
      <c r="F7">
        <v>1</v>
      </c>
      <c r="G7">
        <v>2</v>
      </c>
      <c r="H7">
        <v>2</v>
      </c>
      <c r="I7">
        <v>1</v>
      </c>
      <c r="J7">
        <v>2</v>
      </c>
      <c r="K7" s="12">
        <f t="shared" ref="K7:K68" ca="1" si="1">SUM(OFFSET($U$6,(ROW()-6)*5,0,5,1))</f>
        <v>510.20000000000005</v>
      </c>
      <c r="N7" s="2" t="str">
        <f t="shared" ref="N7:N70" si="2">INDEX($B$6:$B$26, MATCH(O7, $A$6:$A$26, 0))</f>
        <v>AmL ID5</v>
      </c>
      <c r="O7" cm="1">
        <f t="array" ref="O7">INDEX($F$6:$F$68, INT((ROWS(O$6:O7)-1)/5)+1)</f>
        <v>1</v>
      </c>
      <c r="P7" cm="1">
        <f t="array" ref="P7">INDEX($G$6:$G$68, INT((ROWS(P$6:P7)-1)/5)+1)</f>
        <v>1</v>
      </c>
      <c r="Q7">
        <f>MOD(ROWS(Q$6:Q7)-1,5)+1</f>
        <v>2</v>
      </c>
      <c r="R7" cm="1">
        <f t="array" ref="R7">INDEX($H$6:$H$68, INT((ROWS(R$6:R7)-1)/5)+1)</f>
        <v>1</v>
      </c>
      <c r="S7" cm="1">
        <f t="array" ref="S7">INDEX($I$6:$I$68, INT((ROWS(S$6:S7)-1)/5)+1)</f>
        <v>1</v>
      </c>
      <c r="T7">
        <v>2</v>
      </c>
      <c r="U7" s="15">
        <v>60</v>
      </c>
      <c r="X7" s="2" t="s">
        <v>13</v>
      </c>
      <c r="Y7">
        <v>2</v>
      </c>
      <c r="AA7" s="3" t="s">
        <v>14</v>
      </c>
    </row>
    <row r="8" spans="1:27" x14ac:dyDescent="0.25">
      <c r="A8" s="2">
        <v>3</v>
      </c>
      <c r="B8" t="s">
        <v>15</v>
      </c>
      <c r="C8" s="3">
        <v>1</v>
      </c>
      <c r="E8" s="2" t="str">
        <f t="shared" si="0"/>
        <v>AmL ID5</v>
      </c>
      <c r="F8">
        <v>1</v>
      </c>
      <c r="G8">
        <v>3</v>
      </c>
      <c r="H8">
        <v>3</v>
      </c>
      <c r="I8">
        <v>1</v>
      </c>
      <c r="J8">
        <v>3</v>
      </c>
      <c r="K8" s="12">
        <f t="shared" ca="1" si="1"/>
        <v>497.32999999999993</v>
      </c>
      <c r="N8" s="2" t="str">
        <f t="shared" si="2"/>
        <v>AmL ID5</v>
      </c>
      <c r="O8" cm="1">
        <f t="array" ref="O8">INDEX($F$6:$F$68, INT((ROWS(O$6:O8)-1)/5)+1)</f>
        <v>1</v>
      </c>
      <c r="P8" cm="1">
        <f t="array" ref="P8">INDEX($G$6:$G$68, INT((ROWS(P$6:P8)-1)/5)+1)</f>
        <v>1</v>
      </c>
      <c r="Q8">
        <f>MOD(ROWS(Q$6:Q8)-1,5)+1</f>
        <v>3</v>
      </c>
      <c r="R8" cm="1">
        <f t="array" ref="R8">INDEX($H$6:$H$68, INT((ROWS(R$6:R8)-1)/5)+1)</f>
        <v>1</v>
      </c>
      <c r="S8" cm="1">
        <f t="array" ref="S8">INDEX($I$6:$I$68, INT((ROWS(S$6:S8)-1)/5)+1)</f>
        <v>1</v>
      </c>
      <c r="T8">
        <v>3</v>
      </c>
      <c r="U8" s="12">
        <v>74.42</v>
      </c>
      <c r="X8" s="4" t="s">
        <v>16</v>
      </c>
      <c r="Y8" s="5">
        <v>3</v>
      </c>
      <c r="Z8" s="5"/>
      <c r="AA8" s="6" t="s">
        <v>17</v>
      </c>
    </row>
    <row r="9" spans="1:27" x14ac:dyDescent="0.25">
      <c r="A9" s="2">
        <v>4</v>
      </c>
      <c r="B9" t="s">
        <v>18</v>
      </c>
      <c r="C9" s="3">
        <v>1</v>
      </c>
      <c r="E9" s="2" t="str">
        <f t="shared" si="0"/>
        <v>ML ID7</v>
      </c>
      <c r="F9">
        <v>2</v>
      </c>
      <c r="G9">
        <v>2</v>
      </c>
      <c r="H9">
        <v>2</v>
      </c>
      <c r="I9">
        <v>1</v>
      </c>
      <c r="J9">
        <v>1</v>
      </c>
      <c r="K9" s="12">
        <f t="shared" ca="1" si="1"/>
        <v>464.05</v>
      </c>
      <c r="N9" s="2" t="str">
        <f t="shared" si="2"/>
        <v>AmL ID5</v>
      </c>
      <c r="O9" cm="1">
        <f t="array" ref="O9">INDEX($F$6:$F$68, INT((ROWS(O$6:O9)-1)/5)+1)</f>
        <v>1</v>
      </c>
      <c r="P9" cm="1">
        <f t="array" ref="P9">INDEX($G$6:$G$68, INT((ROWS(P$6:P9)-1)/5)+1)</f>
        <v>1</v>
      </c>
      <c r="Q9">
        <f>MOD(ROWS(Q$6:Q9)-1,5)+1</f>
        <v>4</v>
      </c>
      <c r="R9" cm="1">
        <f t="array" ref="R9">INDEX($H$6:$H$68, INT((ROWS(R$6:R9)-1)/5)+1)</f>
        <v>1</v>
      </c>
      <c r="S9" cm="1">
        <f t="array" ref="S9">INDEX($I$6:$I$68, INT((ROWS(S$6:S9)-1)/5)+1)</f>
        <v>1</v>
      </c>
      <c r="T9">
        <v>1</v>
      </c>
      <c r="U9" s="12">
        <v>56.47</v>
      </c>
    </row>
    <row r="10" spans="1:27" x14ac:dyDescent="0.25">
      <c r="A10" s="2">
        <v>5</v>
      </c>
      <c r="B10" t="s">
        <v>19</v>
      </c>
      <c r="C10" s="3">
        <v>1</v>
      </c>
      <c r="E10" s="2" t="str">
        <f t="shared" si="0"/>
        <v>ML ID7</v>
      </c>
      <c r="F10">
        <v>2</v>
      </c>
      <c r="G10">
        <v>3</v>
      </c>
      <c r="H10">
        <v>3</v>
      </c>
      <c r="I10">
        <v>1</v>
      </c>
      <c r="J10">
        <v>2</v>
      </c>
      <c r="K10" s="12">
        <f t="shared" ca="1" si="1"/>
        <v>476.25000000000006</v>
      </c>
      <c r="N10" s="2" t="str">
        <f t="shared" si="2"/>
        <v>AmL ID5</v>
      </c>
      <c r="O10" cm="1">
        <f t="array" ref="O10">INDEX($F$6:$F$68, INT((ROWS(O$6:O10)-1)/5)+1)</f>
        <v>1</v>
      </c>
      <c r="P10" cm="1">
        <f t="array" ref="P10">INDEX($G$6:$G$68, INT((ROWS(P$6:P10)-1)/5)+1)</f>
        <v>1</v>
      </c>
      <c r="Q10">
        <f>MOD(ROWS(Q$6:Q10)-1,5)+1</f>
        <v>5</v>
      </c>
      <c r="R10" cm="1">
        <f t="array" ref="R10">INDEX($H$6:$H$68, INT((ROWS(R$6:R10)-1)/5)+1)</f>
        <v>1</v>
      </c>
      <c r="S10" cm="1">
        <f t="array" ref="S10">INDEX($I$6:$I$68, INT((ROWS(S$6:S10)-1)/5)+1)</f>
        <v>1</v>
      </c>
      <c r="T10">
        <v>2</v>
      </c>
      <c r="U10" s="12">
        <v>62.13</v>
      </c>
    </row>
    <row r="11" spans="1:27" x14ac:dyDescent="0.25">
      <c r="A11" s="2">
        <v>6</v>
      </c>
      <c r="B11" t="s">
        <v>20</v>
      </c>
      <c r="C11" s="3">
        <v>1</v>
      </c>
      <c r="E11" s="2" t="str">
        <f t="shared" si="0"/>
        <v>ML ID7</v>
      </c>
      <c r="F11">
        <v>2</v>
      </c>
      <c r="G11">
        <v>1</v>
      </c>
      <c r="H11">
        <v>1</v>
      </c>
      <c r="I11">
        <v>1</v>
      </c>
      <c r="J11">
        <v>3</v>
      </c>
      <c r="K11" s="12">
        <f t="shared" ca="1" si="1"/>
        <v>307.89999999999998</v>
      </c>
      <c r="N11" s="2" t="str">
        <f t="shared" si="2"/>
        <v>AmL ID5</v>
      </c>
      <c r="O11" cm="1">
        <f t="array" ref="O11">INDEX($F$6:$F$68, INT((ROWS(O$6:O11)-1)/5)+1)</f>
        <v>1</v>
      </c>
      <c r="P11" cm="1">
        <f t="array" ref="P11">INDEX($G$6:$G$68, INT((ROWS(P$6:P11)-1)/5)+1)</f>
        <v>2</v>
      </c>
      <c r="Q11">
        <f>MOD(ROWS(Q$6:Q11)-1,5)+1</f>
        <v>1</v>
      </c>
      <c r="R11" cm="1">
        <f t="array" ref="R11">INDEX($H$6:$H$68, INT((ROWS(R$6:R11)-1)/5)+1)</f>
        <v>2</v>
      </c>
      <c r="S11" cm="1">
        <f t="array" ref="S11">INDEX($I$6:$I$68, INT((ROWS(S$6:S11)-1)/5)+1)</f>
        <v>1</v>
      </c>
      <c r="T11">
        <v>3</v>
      </c>
      <c r="U11" s="12">
        <v>131.52000000000001</v>
      </c>
    </row>
    <row r="12" spans="1:27" x14ac:dyDescent="0.25">
      <c r="A12" s="2">
        <v>7</v>
      </c>
      <c r="C12" s="3">
        <v>1</v>
      </c>
      <c r="E12" s="2" t="str">
        <f t="shared" si="0"/>
        <v>EL ID8</v>
      </c>
      <c r="F12">
        <v>3</v>
      </c>
      <c r="G12">
        <v>3</v>
      </c>
      <c r="H12">
        <v>3</v>
      </c>
      <c r="I12">
        <v>1</v>
      </c>
      <c r="J12">
        <v>1</v>
      </c>
      <c r="K12" s="12">
        <f t="shared" ca="1" si="1"/>
        <v>494.17</v>
      </c>
      <c r="N12" s="2" t="str">
        <f t="shared" si="2"/>
        <v>AmL ID5</v>
      </c>
      <c r="O12" cm="1">
        <f t="array" ref="O12">INDEX($F$6:$F$68, INT((ROWS(O$6:O12)-1)/5)+1)</f>
        <v>1</v>
      </c>
      <c r="P12" cm="1">
        <f t="array" ref="P12">INDEX($G$6:$G$68, INT((ROWS(P$6:P12)-1)/5)+1)</f>
        <v>2</v>
      </c>
      <c r="Q12">
        <f>MOD(ROWS(Q$6:Q12)-1,5)+1</f>
        <v>2</v>
      </c>
      <c r="R12" cm="1">
        <f t="array" ref="R12">INDEX($H$6:$H$68, INT((ROWS(R$6:R12)-1)/5)+1)</f>
        <v>2</v>
      </c>
      <c r="S12" cm="1">
        <f t="array" ref="S12">INDEX($I$6:$I$68, INT((ROWS(S$6:S12)-1)/5)+1)</f>
        <v>1</v>
      </c>
      <c r="T12">
        <v>1</v>
      </c>
      <c r="U12" s="12">
        <v>92.23</v>
      </c>
    </row>
    <row r="13" spans="1:27" x14ac:dyDescent="0.25">
      <c r="A13" s="2">
        <v>8</v>
      </c>
      <c r="B13" t="s">
        <v>21</v>
      </c>
      <c r="C13" s="3">
        <v>2</v>
      </c>
      <c r="E13" s="2" t="str">
        <f t="shared" si="0"/>
        <v>EL ID8</v>
      </c>
      <c r="F13">
        <v>3</v>
      </c>
      <c r="G13">
        <v>1</v>
      </c>
      <c r="H13">
        <v>1</v>
      </c>
      <c r="I13">
        <v>1</v>
      </c>
      <c r="J13">
        <v>2</v>
      </c>
      <c r="K13" s="12">
        <f t="shared" ca="1" si="1"/>
        <v>296.82</v>
      </c>
      <c r="N13" s="2" t="str">
        <f t="shared" si="2"/>
        <v>AmL ID5</v>
      </c>
      <c r="O13" cm="1">
        <f t="array" ref="O13">INDEX($F$6:$F$68, INT((ROWS(O$6:O13)-1)/5)+1)</f>
        <v>1</v>
      </c>
      <c r="P13" cm="1">
        <f t="array" ref="P13">INDEX($G$6:$G$68, INT((ROWS(P$6:P13)-1)/5)+1)</f>
        <v>2</v>
      </c>
      <c r="Q13">
        <f>MOD(ROWS(Q$6:Q13)-1,5)+1</f>
        <v>3</v>
      </c>
      <c r="R13" cm="1">
        <f t="array" ref="R13">INDEX($H$6:$H$68, INT((ROWS(R$6:R13)-1)/5)+1)</f>
        <v>2</v>
      </c>
      <c r="S13" cm="1">
        <f t="array" ref="S13">INDEX($I$6:$I$68, INT((ROWS(S$6:S13)-1)/5)+1)</f>
        <v>1</v>
      </c>
      <c r="T13">
        <v>2</v>
      </c>
      <c r="U13" s="12">
        <v>102.97</v>
      </c>
    </row>
    <row r="14" spans="1:27" x14ac:dyDescent="0.25">
      <c r="A14" s="2">
        <v>9</v>
      </c>
      <c r="B14" t="s">
        <v>22</v>
      </c>
      <c r="C14" s="3">
        <v>2</v>
      </c>
      <c r="E14" s="2" t="str">
        <f t="shared" si="0"/>
        <v>EL ID8</v>
      </c>
      <c r="F14">
        <v>3</v>
      </c>
      <c r="G14">
        <v>2</v>
      </c>
      <c r="H14">
        <v>2</v>
      </c>
      <c r="I14">
        <v>1</v>
      </c>
      <c r="J14">
        <v>3</v>
      </c>
      <c r="K14" s="12">
        <f t="shared" ca="1" si="1"/>
        <v>442.71</v>
      </c>
      <c r="N14" s="2" t="str">
        <f t="shared" si="2"/>
        <v>AmL ID5</v>
      </c>
      <c r="O14" cm="1">
        <f t="array" ref="O14">INDEX($F$6:$F$68, INT((ROWS(O$6:O14)-1)/5)+1)</f>
        <v>1</v>
      </c>
      <c r="P14" cm="1">
        <f t="array" ref="P14">INDEX($G$6:$G$68, INT((ROWS(P$6:P14)-1)/5)+1)</f>
        <v>2</v>
      </c>
      <c r="Q14">
        <f>MOD(ROWS(Q$6:Q14)-1,5)+1</f>
        <v>4</v>
      </c>
      <c r="R14" cm="1">
        <f t="array" ref="R14">INDEX($H$6:$H$68, INT((ROWS(R$6:R14)-1)/5)+1)</f>
        <v>2</v>
      </c>
      <c r="S14" cm="1">
        <f t="array" ref="S14">INDEX($I$6:$I$68, INT((ROWS(S$6:S14)-1)/5)+1)</f>
        <v>1</v>
      </c>
      <c r="T14">
        <v>3</v>
      </c>
      <c r="U14" s="12">
        <v>80.48</v>
      </c>
      <c r="V14" s="12"/>
    </row>
    <row r="15" spans="1:27" x14ac:dyDescent="0.25">
      <c r="A15" s="2">
        <v>10</v>
      </c>
      <c r="B15" t="s">
        <v>23</v>
      </c>
      <c r="C15" s="3">
        <v>2</v>
      </c>
      <c r="E15" s="2" t="str">
        <f t="shared" si="0"/>
        <v>MK ID11</v>
      </c>
      <c r="F15">
        <v>4</v>
      </c>
      <c r="G15">
        <v>2</v>
      </c>
      <c r="H15">
        <v>1</v>
      </c>
      <c r="I15">
        <v>1</v>
      </c>
      <c r="J15">
        <v>1</v>
      </c>
      <c r="K15" s="12">
        <f t="shared" ca="1" si="1"/>
        <v>406.73</v>
      </c>
      <c r="N15" s="2" t="str">
        <f t="shared" si="2"/>
        <v>AmL ID5</v>
      </c>
      <c r="O15" cm="1">
        <f t="array" ref="O15">INDEX($F$6:$F$68, INT((ROWS(O$6:O15)-1)/5)+1)</f>
        <v>1</v>
      </c>
      <c r="P15" cm="1">
        <f t="array" ref="P15">INDEX($G$6:$G$68, INT((ROWS(P$6:P15)-1)/5)+1)</f>
        <v>2</v>
      </c>
      <c r="Q15">
        <f>MOD(ROWS(Q$6:Q15)-1,5)+1</f>
        <v>5</v>
      </c>
      <c r="R15" cm="1">
        <f t="array" ref="R15">INDEX($H$6:$H$68, INT((ROWS(R$6:R15)-1)/5)+1)</f>
        <v>2</v>
      </c>
      <c r="S15" cm="1">
        <f t="array" ref="S15">INDEX($I$6:$I$68, INT((ROWS(S$6:S15)-1)/5)+1)</f>
        <v>1</v>
      </c>
      <c r="T15">
        <v>1</v>
      </c>
      <c r="U15" s="12">
        <v>103</v>
      </c>
    </row>
    <row r="16" spans="1:27" x14ac:dyDescent="0.25">
      <c r="A16" s="2">
        <v>11</v>
      </c>
      <c r="B16" t="s">
        <v>24</v>
      </c>
      <c r="C16" s="3">
        <v>2</v>
      </c>
      <c r="E16" s="2" t="str">
        <f t="shared" si="0"/>
        <v>MK ID11</v>
      </c>
      <c r="F16">
        <v>4</v>
      </c>
      <c r="G16">
        <v>3</v>
      </c>
      <c r="H16">
        <v>2</v>
      </c>
      <c r="I16">
        <v>1</v>
      </c>
      <c r="J16">
        <v>2</v>
      </c>
      <c r="K16" s="12">
        <f t="shared" ca="1" si="1"/>
        <v>359.2</v>
      </c>
      <c r="N16" s="2" t="str">
        <f t="shared" si="2"/>
        <v>AmL ID5</v>
      </c>
      <c r="O16" cm="1">
        <f t="array" ref="O16">INDEX($F$6:$F$68, INT((ROWS(O$6:O16)-1)/5)+1)</f>
        <v>1</v>
      </c>
      <c r="P16" cm="1">
        <f t="array" ref="P16">INDEX($G$6:$G$68, INT((ROWS(P$6:P16)-1)/5)+1)</f>
        <v>3</v>
      </c>
      <c r="Q16">
        <f>MOD(ROWS(Q$6:Q16)-1,5)+1</f>
        <v>1</v>
      </c>
      <c r="R16" cm="1">
        <f t="array" ref="R16">INDEX($H$6:$H$68, INT((ROWS(R$6:R16)-1)/5)+1)</f>
        <v>3</v>
      </c>
      <c r="S16" cm="1">
        <f t="array" ref="S16">INDEX($I$6:$I$68, INT((ROWS(S$6:S16)-1)/5)+1)</f>
        <v>1</v>
      </c>
      <c r="T16">
        <v>2</v>
      </c>
      <c r="U16" s="12">
        <v>100.24</v>
      </c>
    </row>
    <row r="17" spans="1:21" x14ac:dyDescent="0.25">
      <c r="A17" s="2">
        <v>12</v>
      </c>
      <c r="B17" t="s">
        <v>25</v>
      </c>
      <c r="C17" s="3">
        <v>2</v>
      </c>
      <c r="E17" s="2" t="str">
        <f t="shared" si="0"/>
        <v>MK ID11</v>
      </c>
      <c r="F17">
        <v>4</v>
      </c>
      <c r="G17">
        <v>1</v>
      </c>
      <c r="H17">
        <v>3</v>
      </c>
      <c r="I17">
        <v>1</v>
      </c>
      <c r="J17">
        <v>3</v>
      </c>
      <c r="K17" s="12">
        <f t="shared" ca="1" si="1"/>
        <v>284.63</v>
      </c>
      <c r="N17" s="2" t="str">
        <f t="shared" si="2"/>
        <v>AmL ID5</v>
      </c>
      <c r="O17" cm="1">
        <f t="array" ref="O17">INDEX($F$6:$F$68, INT((ROWS(O$6:O17)-1)/5)+1)</f>
        <v>1</v>
      </c>
      <c r="P17" cm="1">
        <f t="array" ref="P17">INDEX($G$6:$G$68, INT((ROWS(P$6:P17)-1)/5)+1)</f>
        <v>3</v>
      </c>
      <c r="Q17">
        <f>MOD(ROWS(Q$6:Q17)-1,5)+1</f>
        <v>2</v>
      </c>
      <c r="R17" cm="1">
        <f t="array" ref="R17">INDEX($H$6:$H$68, INT((ROWS(R$6:R17)-1)/5)+1)</f>
        <v>3</v>
      </c>
      <c r="S17" cm="1">
        <f t="array" ref="S17">INDEX($I$6:$I$68, INT((ROWS(S$6:S17)-1)/5)+1)</f>
        <v>1</v>
      </c>
      <c r="T17">
        <v>3</v>
      </c>
      <c r="U17" s="12">
        <v>123.33</v>
      </c>
    </row>
    <row r="18" spans="1:21" x14ac:dyDescent="0.25">
      <c r="A18" s="2">
        <v>13</v>
      </c>
      <c r="B18" t="s">
        <v>26</v>
      </c>
      <c r="C18" s="3">
        <v>2</v>
      </c>
      <c r="E18" s="2" t="str">
        <f t="shared" si="0"/>
        <v>SS ID13</v>
      </c>
      <c r="F18">
        <v>5</v>
      </c>
      <c r="G18">
        <v>3</v>
      </c>
      <c r="H18">
        <v>2</v>
      </c>
      <c r="I18">
        <v>1</v>
      </c>
      <c r="J18">
        <v>1</v>
      </c>
      <c r="K18" s="12">
        <f t="shared" ca="1" si="1"/>
        <v>487.11</v>
      </c>
      <c r="N18" s="2" t="str">
        <f t="shared" si="2"/>
        <v>AmL ID5</v>
      </c>
      <c r="O18" cm="1">
        <f t="array" ref="O18">INDEX($F$6:$F$68, INT((ROWS(O$6:O18)-1)/5)+1)</f>
        <v>1</v>
      </c>
      <c r="P18" cm="1">
        <f t="array" ref="P18">INDEX($G$6:$G$68, INT((ROWS(P$6:P18)-1)/5)+1)</f>
        <v>3</v>
      </c>
      <c r="Q18">
        <f>MOD(ROWS(Q$6:Q18)-1,5)+1</f>
        <v>3</v>
      </c>
      <c r="R18" cm="1">
        <f t="array" ref="R18">INDEX($H$6:$H$68, INT((ROWS(R$6:R18)-1)/5)+1)</f>
        <v>3</v>
      </c>
      <c r="S18" cm="1">
        <f t="array" ref="S18">INDEX($I$6:$I$68, INT((ROWS(S$6:S18)-1)/5)+1)</f>
        <v>1</v>
      </c>
      <c r="T18">
        <v>1</v>
      </c>
      <c r="U18" s="12">
        <v>96.22</v>
      </c>
    </row>
    <row r="19" spans="1:21" x14ac:dyDescent="0.25">
      <c r="A19" s="2">
        <v>14</v>
      </c>
      <c r="B19" t="s">
        <v>27</v>
      </c>
      <c r="C19" s="3">
        <v>2</v>
      </c>
      <c r="E19" s="2" t="str">
        <f t="shared" si="0"/>
        <v>SS ID13</v>
      </c>
      <c r="F19">
        <v>5</v>
      </c>
      <c r="G19">
        <v>1</v>
      </c>
      <c r="H19">
        <v>3</v>
      </c>
      <c r="I19">
        <v>1</v>
      </c>
      <c r="J19">
        <v>2</v>
      </c>
      <c r="K19" s="12">
        <f t="shared" ca="1" si="1"/>
        <v>332.2</v>
      </c>
      <c r="N19" s="2" t="str">
        <f t="shared" si="2"/>
        <v>AmL ID5</v>
      </c>
      <c r="O19" cm="1">
        <f t="array" ref="O19">INDEX($F$6:$F$68, INT((ROWS(O$6:O19)-1)/5)+1)</f>
        <v>1</v>
      </c>
      <c r="P19" cm="1">
        <f t="array" ref="P19">INDEX($G$6:$G$68, INT((ROWS(P$6:P19)-1)/5)+1)</f>
        <v>3</v>
      </c>
      <c r="Q19">
        <f>MOD(ROWS(Q$6:Q19)-1,5)+1</f>
        <v>4</v>
      </c>
      <c r="R19" cm="1">
        <f t="array" ref="R19">INDEX($H$6:$H$68, INT((ROWS(R$6:R19)-1)/5)+1)</f>
        <v>3</v>
      </c>
      <c r="S19" cm="1">
        <f t="array" ref="S19">INDEX($I$6:$I$68, INT((ROWS(S$6:S19)-1)/5)+1)</f>
        <v>1</v>
      </c>
      <c r="T19">
        <v>2</v>
      </c>
      <c r="U19" s="12">
        <v>90.83</v>
      </c>
    </row>
    <row r="20" spans="1:21" x14ac:dyDescent="0.25">
      <c r="A20" s="2">
        <v>15</v>
      </c>
      <c r="B20" t="s">
        <v>28</v>
      </c>
      <c r="C20" s="3">
        <v>3</v>
      </c>
      <c r="E20" s="2" t="str">
        <f t="shared" si="0"/>
        <v>SS ID13</v>
      </c>
      <c r="F20">
        <v>5</v>
      </c>
      <c r="G20">
        <v>2</v>
      </c>
      <c r="H20">
        <v>1</v>
      </c>
      <c r="I20">
        <v>1</v>
      </c>
      <c r="J20">
        <v>3</v>
      </c>
      <c r="K20" s="12">
        <f t="shared" ca="1" si="1"/>
        <v>392.57999999999993</v>
      </c>
      <c r="N20" s="2" t="str">
        <f t="shared" si="2"/>
        <v>AmL ID5</v>
      </c>
      <c r="O20" cm="1">
        <f t="array" ref="O20">INDEX($F$6:$F$68, INT((ROWS(O$6:O20)-1)/5)+1)</f>
        <v>1</v>
      </c>
      <c r="P20" cm="1">
        <f t="array" ref="P20">INDEX($G$6:$G$68, INT((ROWS(P$6:P20)-1)/5)+1)</f>
        <v>3</v>
      </c>
      <c r="Q20">
        <f>MOD(ROWS(Q$6:Q20)-1,5)+1</f>
        <v>5</v>
      </c>
      <c r="R20" cm="1">
        <f t="array" ref="R20">INDEX($H$6:$H$68, INT((ROWS(R$6:R20)-1)/5)+1)</f>
        <v>3</v>
      </c>
      <c r="S20" cm="1">
        <f t="array" ref="S20">INDEX($I$6:$I$68, INT((ROWS(S$6:S20)-1)/5)+1)</f>
        <v>1</v>
      </c>
      <c r="T20">
        <v>3</v>
      </c>
      <c r="U20" s="12">
        <v>86.71</v>
      </c>
    </row>
    <row r="21" spans="1:21" x14ac:dyDescent="0.25">
      <c r="A21" s="2">
        <v>16</v>
      </c>
      <c r="B21" t="s">
        <v>29</v>
      </c>
      <c r="C21" s="3">
        <v>3</v>
      </c>
      <c r="E21" s="2" t="str">
        <f t="shared" si="0"/>
        <v>LM ID21</v>
      </c>
      <c r="F21">
        <v>6</v>
      </c>
      <c r="G21">
        <v>1</v>
      </c>
      <c r="H21">
        <v>3</v>
      </c>
      <c r="I21">
        <v>1</v>
      </c>
      <c r="J21">
        <v>1</v>
      </c>
      <c r="K21" s="12">
        <f t="shared" ca="1" si="1"/>
        <v>296.35000000000002</v>
      </c>
      <c r="N21" s="2" t="str">
        <f t="shared" si="2"/>
        <v>ML ID7</v>
      </c>
      <c r="O21" cm="1">
        <f t="array" ref="O21">INDEX($F$6:$F$68, INT((ROWS(O$6:O21)-1)/5)+1)</f>
        <v>2</v>
      </c>
      <c r="P21" cm="1">
        <f t="array" ref="P21">INDEX($G$6:$G$68, INT((ROWS(P$6:P21)-1)/5)+1)</f>
        <v>2</v>
      </c>
      <c r="Q21">
        <f>MOD(ROWS(Q$6:Q21)-1,5)+1</f>
        <v>1</v>
      </c>
      <c r="R21" cm="1">
        <f t="array" ref="R21">INDEX($H$6:$H$68, INT((ROWS(R$6:R21)-1)/5)+1)</f>
        <v>2</v>
      </c>
      <c r="S21" cm="1">
        <f t="array" ref="S21">INDEX($I$6:$I$68, INT((ROWS(S$6:S21)-1)/5)+1)</f>
        <v>1</v>
      </c>
      <c r="T21">
        <v>1</v>
      </c>
      <c r="U21" s="12">
        <v>104.47</v>
      </c>
    </row>
    <row r="22" spans="1:21" x14ac:dyDescent="0.25">
      <c r="A22" s="2">
        <v>17</v>
      </c>
      <c r="B22" t="s">
        <v>30</v>
      </c>
      <c r="C22" s="3">
        <v>3</v>
      </c>
      <c r="E22" s="2" t="str">
        <f t="shared" si="0"/>
        <v>LM ID21</v>
      </c>
      <c r="F22">
        <v>6</v>
      </c>
      <c r="G22">
        <v>2</v>
      </c>
      <c r="H22">
        <v>1</v>
      </c>
      <c r="I22">
        <v>1</v>
      </c>
      <c r="J22">
        <v>2</v>
      </c>
      <c r="K22" s="12">
        <f t="shared" ca="1" si="1"/>
        <v>421.79</v>
      </c>
      <c r="N22" s="2" t="str">
        <f t="shared" si="2"/>
        <v>ML ID7</v>
      </c>
      <c r="O22" cm="1">
        <f t="array" ref="O22">INDEX($F$6:$F$68, INT((ROWS(O$6:O22)-1)/5)+1)</f>
        <v>2</v>
      </c>
      <c r="P22" cm="1">
        <f t="array" ref="P22">INDEX($G$6:$G$68, INT((ROWS(P$6:P22)-1)/5)+1)</f>
        <v>2</v>
      </c>
      <c r="Q22">
        <f>MOD(ROWS(Q$6:Q22)-1,5)+1</f>
        <v>2</v>
      </c>
      <c r="R22" cm="1">
        <f t="array" ref="R22">INDEX($H$6:$H$68, INT((ROWS(R$6:R22)-1)/5)+1)</f>
        <v>2</v>
      </c>
      <c r="S22" cm="1">
        <f t="array" ref="S22">INDEX($I$6:$I$68, INT((ROWS(S$6:S22)-1)/5)+1)</f>
        <v>1</v>
      </c>
      <c r="T22">
        <v>2</v>
      </c>
      <c r="U22" s="12">
        <v>84.65</v>
      </c>
    </row>
    <row r="23" spans="1:21" x14ac:dyDescent="0.25">
      <c r="A23" s="2">
        <v>18</v>
      </c>
      <c r="B23" t="s">
        <v>31</v>
      </c>
      <c r="C23" s="3">
        <v>3</v>
      </c>
      <c r="E23" s="2" t="str">
        <f t="shared" si="0"/>
        <v>LM ID21</v>
      </c>
      <c r="F23">
        <v>6</v>
      </c>
      <c r="G23">
        <v>3</v>
      </c>
      <c r="H23">
        <v>2</v>
      </c>
      <c r="I23">
        <v>1</v>
      </c>
      <c r="J23">
        <v>3</v>
      </c>
      <c r="K23" s="12">
        <f t="shared" ca="1" si="1"/>
        <v>420.88</v>
      </c>
      <c r="N23" s="2" t="str">
        <f t="shared" si="2"/>
        <v>ML ID7</v>
      </c>
      <c r="O23" cm="1">
        <f t="array" ref="O23">INDEX($F$6:$F$68, INT((ROWS(O$6:O23)-1)/5)+1)</f>
        <v>2</v>
      </c>
      <c r="P23" cm="1">
        <f t="array" ref="P23">INDEX($G$6:$G$68, INT((ROWS(P$6:P23)-1)/5)+1)</f>
        <v>2</v>
      </c>
      <c r="Q23">
        <f>MOD(ROWS(Q$6:Q23)-1,5)+1</f>
        <v>3</v>
      </c>
      <c r="R23" cm="1">
        <f t="array" ref="R23">INDEX($H$6:$H$68, INT((ROWS(R$6:R23)-1)/5)+1)</f>
        <v>2</v>
      </c>
      <c r="S23" cm="1">
        <f t="array" ref="S23">INDEX($I$6:$I$68, INT((ROWS(S$6:S23)-1)/5)+1)</f>
        <v>1</v>
      </c>
      <c r="T23">
        <v>3</v>
      </c>
      <c r="U23" s="12">
        <v>80.349999999999994</v>
      </c>
    </row>
    <row r="24" spans="1:21" x14ac:dyDescent="0.25">
      <c r="A24" s="2">
        <v>19</v>
      </c>
      <c r="B24" t="s">
        <v>32</v>
      </c>
      <c r="C24" s="3">
        <v>3</v>
      </c>
      <c r="E24" s="2">
        <f t="shared" si="0"/>
        <v>0</v>
      </c>
      <c r="F24">
        <v>7</v>
      </c>
      <c r="G24">
        <v>3</v>
      </c>
      <c r="H24">
        <v>1</v>
      </c>
      <c r="I24">
        <v>1</v>
      </c>
      <c r="J24">
        <v>1</v>
      </c>
      <c r="K24" s="12">
        <f t="shared" ca="1" si="1"/>
        <v>0</v>
      </c>
      <c r="N24" s="2" t="str">
        <f t="shared" si="2"/>
        <v>ML ID7</v>
      </c>
      <c r="O24" cm="1">
        <f t="array" ref="O24">INDEX($F$6:$F$68, INT((ROWS(O$6:O24)-1)/5)+1)</f>
        <v>2</v>
      </c>
      <c r="P24" cm="1">
        <f t="array" ref="P24">INDEX($G$6:$G$68, INT((ROWS(P$6:P24)-1)/5)+1)</f>
        <v>2</v>
      </c>
      <c r="Q24">
        <f>MOD(ROWS(Q$6:Q24)-1,5)+1</f>
        <v>4</v>
      </c>
      <c r="R24" cm="1">
        <f t="array" ref="R24">INDEX($H$6:$H$68, INT((ROWS(R$6:R24)-1)/5)+1)</f>
        <v>2</v>
      </c>
      <c r="S24" cm="1">
        <f t="array" ref="S24">INDEX($I$6:$I$68, INT((ROWS(S$6:S24)-1)/5)+1)</f>
        <v>1</v>
      </c>
      <c r="T24">
        <v>1</v>
      </c>
      <c r="U24" s="12">
        <v>82.16</v>
      </c>
    </row>
    <row r="25" spans="1:21" x14ac:dyDescent="0.25">
      <c r="A25" s="2">
        <v>20</v>
      </c>
      <c r="B25" t="s">
        <v>33</v>
      </c>
      <c r="C25" s="3">
        <v>3</v>
      </c>
      <c r="E25" s="2">
        <f t="shared" si="0"/>
        <v>0</v>
      </c>
      <c r="F25">
        <v>7</v>
      </c>
      <c r="G25">
        <v>1</v>
      </c>
      <c r="H25">
        <v>2</v>
      </c>
      <c r="I25">
        <v>1</v>
      </c>
      <c r="J25">
        <v>2</v>
      </c>
      <c r="K25" s="12">
        <f t="shared" ca="1" si="1"/>
        <v>0</v>
      </c>
      <c r="N25" s="2" t="str">
        <f t="shared" si="2"/>
        <v>ML ID7</v>
      </c>
      <c r="O25" cm="1">
        <f t="array" ref="O25">INDEX($F$6:$F$68, INT((ROWS(O$6:O25)-1)/5)+1)</f>
        <v>2</v>
      </c>
      <c r="P25" cm="1">
        <f t="array" ref="P25">INDEX($G$6:$G$68, INT((ROWS(P$6:P25)-1)/5)+1)</f>
        <v>2</v>
      </c>
      <c r="Q25">
        <f>MOD(ROWS(Q$6:Q25)-1,5)+1</f>
        <v>5</v>
      </c>
      <c r="R25" cm="1">
        <f t="array" ref="R25">INDEX($H$6:$H$68, INT((ROWS(R$6:R25)-1)/5)+1)</f>
        <v>2</v>
      </c>
      <c r="S25" cm="1">
        <f t="array" ref="S25">INDEX($I$6:$I$68, INT((ROWS(S$6:S25)-1)/5)+1)</f>
        <v>1</v>
      </c>
      <c r="T25">
        <v>2</v>
      </c>
      <c r="U25" s="12">
        <v>112.42</v>
      </c>
    </row>
    <row r="26" spans="1:21" x14ac:dyDescent="0.25">
      <c r="A26" s="4">
        <v>21</v>
      </c>
      <c r="B26" s="5"/>
      <c r="C26" s="6">
        <v>3</v>
      </c>
      <c r="E26" s="2">
        <f t="shared" si="0"/>
        <v>0</v>
      </c>
      <c r="F26">
        <v>7</v>
      </c>
      <c r="G26">
        <v>2</v>
      </c>
      <c r="H26">
        <v>3</v>
      </c>
      <c r="I26">
        <v>1</v>
      </c>
      <c r="J26">
        <v>3</v>
      </c>
      <c r="K26" s="12">
        <f t="shared" ca="1" si="1"/>
        <v>0</v>
      </c>
      <c r="N26" s="2" t="str">
        <f t="shared" si="2"/>
        <v>ML ID7</v>
      </c>
      <c r="O26" cm="1">
        <f t="array" ref="O26">INDEX($F$6:$F$68, INT((ROWS(O$6:O26)-1)/5)+1)</f>
        <v>2</v>
      </c>
      <c r="P26" cm="1">
        <f t="array" ref="P26">INDEX($G$6:$G$68, INT((ROWS(P$6:P26)-1)/5)+1)</f>
        <v>3</v>
      </c>
      <c r="Q26">
        <f>MOD(ROWS(Q$6:Q26)-1,5)+1</f>
        <v>1</v>
      </c>
      <c r="R26" cm="1">
        <f t="array" ref="R26">INDEX($H$6:$H$68, INT((ROWS(R$6:R26)-1)/5)+1)</f>
        <v>3</v>
      </c>
      <c r="S26" cm="1">
        <f t="array" ref="S26">INDEX($I$6:$I$68, INT((ROWS(S$6:S26)-1)/5)+1)</f>
        <v>1</v>
      </c>
      <c r="T26">
        <v>3</v>
      </c>
      <c r="U26" s="12">
        <v>95.34</v>
      </c>
    </row>
    <row r="27" spans="1:21" x14ac:dyDescent="0.25">
      <c r="E27" s="2" t="str">
        <f t="shared" si="0"/>
        <v>LW ID1</v>
      </c>
      <c r="F27">
        <v>8</v>
      </c>
      <c r="G27">
        <v>1</v>
      </c>
      <c r="H27">
        <v>2</v>
      </c>
      <c r="I27">
        <v>2</v>
      </c>
      <c r="J27">
        <v>1</v>
      </c>
      <c r="K27" s="12">
        <f t="shared" ca="1" si="1"/>
        <v>269.48</v>
      </c>
      <c r="N27" s="2" t="str">
        <f t="shared" si="2"/>
        <v>ML ID7</v>
      </c>
      <c r="O27" cm="1">
        <f t="array" ref="O27">INDEX($F$6:$F$68, INT((ROWS(O$6:O27)-1)/5)+1)</f>
        <v>2</v>
      </c>
      <c r="P27" cm="1">
        <f t="array" ref="P27">INDEX($G$6:$G$68, INT((ROWS(P$6:P27)-1)/5)+1)</f>
        <v>3</v>
      </c>
      <c r="Q27">
        <f>MOD(ROWS(Q$6:Q27)-1,5)+1</f>
        <v>2</v>
      </c>
      <c r="R27" cm="1">
        <f t="array" ref="R27">INDEX($H$6:$H$68, INT((ROWS(R$6:R27)-1)/5)+1)</f>
        <v>3</v>
      </c>
      <c r="S27" cm="1">
        <f t="array" ref="S27">INDEX($I$6:$I$68, INT((ROWS(S$6:S27)-1)/5)+1)</f>
        <v>1</v>
      </c>
      <c r="T27">
        <v>1</v>
      </c>
      <c r="U27" s="12">
        <v>112.21</v>
      </c>
    </row>
    <row r="28" spans="1:21" x14ac:dyDescent="0.25">
      <c r="E28" s="2" t="str">
        <f t="shared" si="0"/>
        <v>LW ID1</v>
      </c>
      <c r="F28">
        <v>8</v>
      </c>
      <c r="G28">
        <v>2</v>
      </c>
      <c r="H28">
        <v>3</v>
      </c>
      <c r="I28">
        <v>2</v>
      </c>
      <c r="J28">
        <v>2</v>
      </c>
      <c r="K28" s="12">
        <f t="shared" ca="1" si="1"/>
        <v>405.82</v>
      </c>
      <c r="N28" s="2" t="str">
        <f t="shared" si="2"/>
        <v>ML ID7</v>
      </c>
      <c r="O28" cm="1">
        <f t="array" ref="O28">INDEX($F$6:$F$68, INT((ROWS(O$6:O28)-1)/5)+1)</f>
        <v>2</v>
      </c>
      <c r="P28" cm="1">
        <f t="array" ref="P28">INDEX($G$6:$G$68, INT((ROWS(P$6:P28)-1)/5)+1)</f>
        <v>3</v>
      </c>
      <c r="Q28">
        <f>MOD(ROWS(Q$6:Q28)-1,5)+1</f>
        <v>3</v>
      </c>
      <c r="R28" cm="1">
        <f t="array" ref="R28">INDEX($H$6:$H$68, INT((ROWS(R$6:R28)-1)/5)+1)</f>
        <v>3</v>
      </c>
      <c r="S28" cm="1">
        <f t="array" ref="S28">INDEX($I$6:$I$68, INT((ROWS(S$6:S28)-1)/5)+1)</f>
        <v>1</v>
      </c>
      <c r="T28">
        <v>2</v>
      </c>
      <c r="U28" s="12">
        <v>86.4</v>
      </c>
    </row>
    <row r="29" spans="1:21" x14ac:dyDescent="0.25">
      <c r="E29" s="2" t="str">
        <f t="shared" si="0"/>
        <v>LW ID1</v>
      </c>
      <c r="F29">
        <v>8</v>
      </c>
      <c r="G29">
        <v>3</v>
      </c>
      <c r="H29">
        <v>1</v>
      </c>
      <c r="I29">
        <v>2</v>
      </c>
      <c r="J29">
        <v>3</v>
      </c>
      <c r="K29" s="12">
        <f t="shared" ca="1" si="1"/>
        <v>321</v>
      </c>
      <c r="N29" s="2" t="str">
        <f t="shared" si="2"/>
        <v>ML ID7</v>
      </c>
      <c r="O29" cm="1">
        <f t="array" ref="O29">INDEX($F$6:$F$68, INT((ROWS(O$6:O29)-1)/5)+1)</f>
        <v>2</v>
      </c>
      <c r="P29" cm="1">
        <f t="array" ref="P29">INDEX($G$6:$G$68, INT((ROWS(P$6:P29)-1)/5)+1)</f>
        <v>3</v>
      </c>
      <c r="Q29">
        <f>MOD(ROWS(Q$6:Q29)-1,5)+1</f>
        <v>4</v>
      </c>
      <c r="R29" cm="1">
        <f t="array" ref="R29">INDEX($H$6:$H$68, INT((ROWS(R$6:R29)-1)/5)+1)</f>
        <v>3</v>
      </c>
      <c r="S29" cm="1">
        <f t="array" ref="S29">INDEX($I$6:$I$68, INT((ROWS(S$6:S29)-1)/5)+1)</f>
        <v>1</v>
      </c>
      <c r="T29">
        <v>3</v>
      </c>
      <c r="U29" s="12">
        <v>97.75</v>
      </c>
    </row>
    <row r="30" spans="1:21" x14ac:dyDescent="0.25">
      <c r="E30" s="2" t="str">
        <f t="shared" si="0"/>
        <v>JS ID2</v>
      </c>
      <c r="F30">
        <v>9</v>
      </c>
      <c r="G30">
        <v>2</v>
      </c>
      <c r="H30">
        <v>3</v>
      </c>
      <c r="I30">
        <v>2</v>
      </c>
      <c r="J30">
        <v>1</v>
      </c>
      <c r="K30" s="12">
        <f t="shared" ca="1" si="1"/>
        <v>407.12</v>
      </c>
      <c r="N30" s="2" t="str">
        <f t="shared" si="2"/>
        <v>ML ID7</v>
      </c>
      <c r="O30" cm="1">
        <f t="array" ref="O30">INDEX($F$6:$F$68, INT((ROWS(O$6:O30)-1)/5)+1)</f>
        <v>2</v>
      </c>
      <c r="P30" cm="1">
        <f t="array" ref="P30">INDEX($G$6:$G$68, INT((ROWS(P$6:P30)-1)/5)+1)</f>
        <v>3</v>
      </c>
      <c r="Q30">
        <f>MOD(ROWS(Q$6:Q30)-1,5)+1</f>
        <v>5</v>
      </c>
      <c r="R30" cm="1">
        <f t="array" ref="R30">INDEX($H$6:$H$68, INT((ROWS(R$6:R30)-1)/5)+1)</f>
        <v>3</v>
      </c>
      <c r="S30" cm="1">
        <f t="array" ref="S30">INDEX($I$6:$I$68, INT((ROWS(S$6:S30)-1)/5)+1)</f>
        <v>1</v>
      </c>
      <c r="T30">
        <v>1</v>
      </c>
      <c r="U30" s="12">
        <v>84.55</v>
      </c>
    </row>
    <row r="31" spans="1:21" x14ac:dyDescent="0.25">
      <c r="E31" s="2" t="str">
        <f t="shared" si="0"/>
        <v>JS ID2</v>
      </c>
      <c r="F31">
        <v>9</v>
      </c>
      <c r="G31">
        <v>3</v>
      </c>
      <c r="H31">
        <v>1</v>
      </c>
      <c r="I31">
        <v>2</v>
      </c>
      <c r="J31">
        <v>2</v>
      </c>
      <c r="K31" s="12">
        <f t="shared" ca="1" si="1"/>
        <v>322.58</v>
      </c>
      <c r="N31" s="2" t="str">
        <f t="shared" si="2"/>
        <v>ML ID7</v>
      </c>
      <c r="O31" cm="1">
        <f t="array" ref="O31">INDEX($F$6:$F$68, INT((ROWS(O$6:O31)-1)/5)+1)</f>
        <v>2</v>
      </c>
      <c r="P31" cm="1">
        <f t="array" ref="P31">INDEX($G$6:$G$68, INT((ROWS(P$6:P31)-1)/5)+1)</f>
        <v>1</v>
      </c>
      <c r="Q31">
        <f>MOD(ROWS(Q$6:Q31)-1,5)+1</f>
        <v>1</v>
      </c>
      <c r="R31" cm="1">
        <f t="array" ref="R31">INDEX($H$6:$H$68, INT((ROWS(R$6:R31)-1)/5)+1)</f>
        <v>1</v>
      </c>
      <c r="S31" cm="1">
        <f t="array" ref="S31">INDEX($I$6:$I$68, INT((ROWS(S$6:S31)-1)/5)+1)</f>
        <v>1</v>
      </c>
      <c r="T31">
        <v>2</v>
      </c>
      <c r="U31" s="12">
        <v>62.06</v>
      </c>
    </row>
    <row r="32" spans="1:21" x14ac:dyDescent="0.25">
      <c r="E32" s="2" t="str">
        <f t="shared" si="0"/>
        <v>JS ID2</v>
      </c>
      <c r="F32">
        <v>9</v>
      </c>
      <c r="G32">
        <v>1</v>
      </c>
      <c r="H32">
        <v>2</v>
      </c>
      <c r="I32">
        <v>2</v>
      </c>
      <c r="J32">
        <v>3</v>
      </c>
      <c r="K32" s="12">
        <f t="shared" ca="1" si="1"/>
        <v>252.78</v>
      </c>
      <c r="N32" s="2" t="str">
        <f t="shared" si="2"/>
        <v>ML ID7</v>
      </c>
      <c r="O32" cm="1">
        <f t="array" ref="O32">INDEX($F$6:$F$68, INT((ROWS(O$6:O32)-1)/5)+1)</f>
        <v>2</v>
      </c>
      <c r="P32" cm="1">
        <f t="array" ref="P32">INDEX($G$6:$G$68, INT((ROWS(P$6:P32)-1)/5)+1)</f>
        <v>1</v>
      </c>
      <c r="Q32">
        <f>MOD(ROWS(Q$6:Q32)-1,5)+1</f>
        <v>2</v>
      </c>
      <c r="R32" cm="1">
        <f t="array" ref="R32">INDEX($H$6:$H$68, INT((ROWS(R$6:R32)-1)/5)+1)</f>
        <v>1</v>
      </c>
      <c r="S32" cm="1">
        <f t="array" ref="S32">INDEX($I$6:$I$68, INT((ROWS(S$6:S32)-1)/5)+1)</f>
        <v>1</v>
      </c>
      <c r="T32">
        <v>3</v>
      </c>
      <c r="U32" s="12">
        <v>62.63</v>
      </c>
    </row>
    <row r="33" spans="5:21" x14ac:dyDescent="0.25">
      <c r="E33" s="2" t="str">
        <f t="shared" si="0"/>
        <v>MH ID13</v>
      </c>
      <c r="F33">
        <v>10</v>
      </c>
      <c r="G33">
        <v>1</v>
      </c>
      <c r="H33">
        <v>1</v>
      </c>
      <c r="I33">
        <v>2</v>
      </c>
      <c r="J33">
        <v>1</v>
      </c>
      <c r="K33" s="12">
        <f t="shared" ca="1" si="1"/>
        <v>402.39</v>
      </c>
      <c r="N33" s="2" t="str">
        <f t="shared" si="2"/>
        <v>ML ID7</v>
      </c>
      <c r="O33" cm="1">
        <f t="array" ref="O33">INDEX($F$6:$F$68, INT((ROWS(O$6:O33)-1)/5)+1)</f>
        <v>2</v>
      </c>
      <c r="P33" cm="1">
        <f t="array" ref="P33">INDEX($G$6:$G$68, INT((ROWS(P$6:P33)-1)/5)+1)</f>
        <v>1</v>
      </c>
      <c r="Q33">
        <f>MOD(ROWS(Q$6:Q33)-1,5)+1</f>
        <v>3</v>
      </c>
      <c r="R33" cm="1">
        <f t="array" ref="R33">INDEX($H$6:$H$68, INT((ROWS(R$6:R33)-1)/5)+1)</f>
        <v>1</v>
      </c>
      <c r="S33" cm="1">
        <f t="array" ref="S33">INDEX($I$6:$I$68, INT((ROWS(S$6:S33)-1)/5)+1)</f>
        <v>1</v>
      </c>
      <c r="T33">
        <v>1</v>
      </c>
      <c r="U33" s="12">
        <v>63.09</v>
      </c>
    </row>
    <row r="34" spans="5:21" x14ac:dyDescent="0.25">
      <c r="E34" s="2" t="str">
        <f t="shared" si="0"/>
        <v>MH ID13</v>
      </c>
      <c r="F34">
        <v>10</v>
      </c>
      <c r="G34">
        <v>2</v>
      </c>
      <c r="H34">
        <v>2</v>
      </c>
      <c r="I34">
        <v>2</v>
      </c>
      <c r="J34">
        <v>2</v>
      </c>
      <c r="K34" s="12">
        <f t="shared" ca="1" si="1"/>
        <v>483.79</v>
      </c>
      <c r="N34" s="2" t="str">
        <f t="shared" si="2"/>
        <v>ML ID7</v>
      </c>
      <c r="O34" cm="1">
        <f t="array" ref="O34">INDEX($F$6:$F$68, INT((ROWS(O$6:O34)-1)/5)+1)</f>
        <v>2</v>
      </c>
      <c r="P34" cm="1">
        <f t="array" ref="P34">INDEX($G$6:$G$68, INT((ROWS(P$6:P34)-1)/5)+1)</f>
        <v>1</v>
      </c>
      <c r="Q34">
        <f>MOD(ROWS(Q$6:Q34)-1,5)+1</f>
        <v>4</v>
      </c>
      <c r="R34" cm="1">
        <f t="array" ref="R34">INDEX($H$6:$H$68, INT((ROWS(R$6:R34)-1)/5)+1)</f>
        <v>1</v>
      </c>
      <c r="S34" cm="1">
        <f t="array" ref="S34">INDEX($I$6:$I$68, INT((ROWS(S$6:S34)-1)/5)+1)</f>
        <v>1</v>
      </c>
      <c r="T34">
        <v>2</v>
      </c>
      <c r="U34" s="12">
        <v>63.75</v>
      </c>
    </row>
    <row r="35" spans="5:21" x14ac:dyDescent="0.25">
      <c r="E35" s="2" t="str">
        <f t="shared" si="0"/>
        <v>MH ID13</v>
      </c>
      <c r="F35">
        <v>10</v>
      </c>
      <c r="G35">
        <v>3</v>
      </c>
      <c r="H35">
        <v>3</v>
      </c>
      <c r="I35">
        <v>2</v>
      </c>
      <c r="J35">
        <v>3</v>
      </c>
      <c r="K35" s="12">
        <f t="shared" ca="1" si="1"/>
        <v>443.15999999999997</v>
      </c>
      <c r="N35" s="2" t="str">
        <f t="shared" si="2"/>
        <v>ML ID7</v>
      </c>
      <c r="O35" cm="1">
        <f t="array" ref="O35">INDEX($F$6:$F$68, INT((ROWS(O$6:O35)-1)/5)+1)</f>
        <v>2</v>
      </c>
      <c r="P35" cm="1">
        <f t="array" ref="P35">INDEX($G$6:$G$68, INT((ROWS(P$6:P35)-1)/5)+1)</f>
        <v>1</v>
      </c>
      <c r="Q35">
        <f>MOD(ROWS(Q$6:Q35)-1,5)+1</f>
        <v>5</v>
      </c>
      <c r="R35" cm="1">
        <f t="array" ref="R35">INDEX($H$6:$H$68, INT((ROWS(R$6:R35)-1)/5)+1)</f>
        <v>1</v>
      </c>
      <c r="S35" cm="1">
        <f t="array" ref="S35">INDEX($I$6:$I$68, INT((ROWS(S$6:S35)-1)/5)+1)</f>
        <v>1</v>
      </c>
      <c r="T35">
        <v>3</v>
      </c>
      <c r="U35" s="12">
        <v>56.37</v>
      </c>
    </row>
    <row r="36" spans="5:21" x14ac:dyDescent="0.25">
      <c r="E36" s="2" t="str">
        <f t="shared" si="0"/>
        <v>NS ID4</v>
      </c>
      <c r="F36">
        <v>11</v>
      </c>
      <c r="G36">
        <v>2</v>
      </c>
      <c r="H36">
        <v>2</v>
      </c>
      <c r="I36">
        <v>2</v>
      </c>
      <c r="J36">
        <v>1</v>
      </c>
      <c r="K36" s="12">
        <f t="shared" ca="1" si="1"/>
        <v>429.91999999999996</v>
      </c>
      <c r="N36" s="2" t="str">
        <f t="shared" si="2"/>
        <v>EL ID8</v>
      </c>
      <c r="O36" cm="1">
        <f t="array" ref="O36">INDEX($F$6:$F$68, INT((ROWS(O$6:O36)-1)/5)+1)</f>
        <v>3</v>
      </c>
      <c r="P36" cm="1">
        <f t="array" ref="P36">INDEX($G$6:$G$68, INT((ROWS(P$6:P36)-1)/5)+1)</f>
        <v>3</v>
      </c>
      <c r="Q36">
        <f>MOD(ROWS(Q$6:Q36)-1,5)+1</f>
        <v>1</v>
      </c>
      <c r="R36" cm="1">
        <f t="array" ref="R36">INDEX($H$6:$H$68, INT((ROWS(R$6:R36)-1)/5)+1)</f>
        <v>3</v>
      </c>
      <c r="S36" cm="1">
        <f t="array" ref="S36">INDEX($I$6:$I$68, INT((ROWS(S$6:S36)-1)/5)+1)</f>
        <v>1</v>
      </c>
      <c r="T36">
        <v>1</v>
      </c>
      <c r="U36" s="12">
        <v>124.36</v>
      </c>
    </row>
    <row r="37" spans="5:21" x14ac:dyDescent="0.25">
      <c r="E37" s="2" t="str">
        <f t="shared" si="0"/>
        <v>NS ID4</v>
      </c>
      <c r="F37">
        <v>11</v>
      </c>
      <c r="G37">
        <v>3</v>
      </c>
      <c r="H37">
        <v>3</v>
      </c>
      <c r="I37">
        <v>2</v>
      </c>
      <c r="J37">
        <v>2</v>
      </c>
      <c r="K37" s="12">
        <f t="shared" ca="1" si="1"/>
        <v>369.78</v>
      </c>
      <c r="N37" s="2" t="str">
        <f t="shared" si="2"/>
        <v>EL ID8</v>
      </c>
      <c r="O37" cm="1">
        <f t="array" ref="O37">INDEX($F$6:$F$68, INT((ROWS(O$6:O37)-1)/5)+1)</f>
        <v>3</v>
      </c>
      <c r="P37" cm="1">
        <f t="array" ref="P37">INDEX($G$6:$G$68, INT((ROWS(P$6:P37)-1)/5)+1)</f>
        <v>3</v>
      </c>
      <c r="Q37">
        <f>MOD(ROWS(Q$6:Q37)-1,5)+1</f>
        <v>2</v>
      </c>
      <c r="R37" cm="1">
        <f t="array" ref="R37">INDEX($H$6:$H$68, INT((ROWS(R$6:R37)-1)/5)+1)</f>
        <v>3</v>
      </c>
      <c r="S37" cm="1">
        <f t="array" ref="S37">INDEX($I$6:$I$68, INT((ROWS(S$6:S37)-1)/5)+1)</f>
        <v>1</v>
      </c>
      <c r="T37">
        <v>2</v>
      </c>
      <c r="U37" s="12">
        <v>97.53</v>
      </c>
    </row>
    <row r="38" spans="5:21" x14ac:dyDescent="0.25">
      <c r="E38" s="2" t="str">
        <f t="shared" si="0"/>
        <v>NS ID4</v>
      </c>
      <c r="F38">
        <v>11</v>
      </c>
      <c r="G38">
        <v>1</v>
      </c>
      <c r="H38">
        <v>1</v>
      </c>
      <c r="I38">
        <v>2</v>
      </c>
      <c r="J38">
        <v>3</v>
      </c>
      <c r="K38" s="12">
        <f t="shared" ca="1" si="1"/>
        <v>305.72000000000003</v>
      </c>
      <c r="N38" s="2" t="str">
        <f t="shared" si="2"/>
        <v>EL ID8</v>
      </c>
      <c r="O38" cm="1">
        <f t="array" ref="O38">INDEX($F$6:$F$68, INT((ROWS(O$6:O38)-1)/5)+1)</f>
        <v>3</v>
      </c>
      <c r="P38" cm="1">
        <f t="array" ref="P38">INDEX($G$6:$G$68, INT((ROWS(P$6:P38)-1)/5)+1)</f>
        <v>3</v>
      </c>
      <c r="Q38">
        <f>MOD(ROWS(Q$6:Q38)-1,5)+1</f>
        <v>3</v>
      </c>
      <c r="R38" cm="1">
        <f t="array" ref="R38">INDEX($H$6:$H$68, INT((ROWS(R$6:R38)-1)/5)+1)</f>
        <v>3</v>
      </c>
      <c r="S38" cm="1">
        <f t="array" ref="S38">INDEX($I$6:$I$68, INT((ROWS(S$6:S38)-1)/5)+1)</f>
        <v>1</v>
      </c>
      <c r="T38">
        <v>3</v>
      </c>
      <c r="U38" s="12">
        <v>109.34</v>
      </c>
    </row>
    <row r="39" spans="5:21" x14ac:dyDescent="0.25">
      <c r="E39" s="2" t="str">
        <f t="shared" si="0"/>
        <v>VK ID14</v>
      </c>
      <c r="F39">
        <v>12</v>
      </c>
      <c r="G39">
        <v>3</v>
      </c>
      <c r="H39">
        <v>3</v>
      </c>
      <c r="I39">
        <v>2</v>
      </c>
      <c r="J39">
        <v>1</v>
      </c>
      <c r="K39" s="12">
        <f t="shared" ca="1" si="1"/>
        <v>337.46000000000004</v>
      </c>
      <c r="N39" s="2" t="str">
        <f t="shared" si="2"/>
        <v>EL ID8</v>
      </c>
      <c r="O39" cm="1">
        <f t="array" ref="O39">INDEX($F$6:$F$68, INT((ROWS(O$6:O39)-1)/5)+1)</f>
        <v>3</v>
      </c>
      <c r="P39" cm="1">
        <f t="array" ref="P39">INDEX($G$6:$G$68, INT((ROWS(P$6:P39)-1)/5)+1)</f>
        <v>3</v>
      </c>
      <c r="Q39">
        <f>MOD(ROWS(Q$6:Q39)-1,5)+1</f>
        <v>4</v>
      </c>
      <c r="R39" cm="1">
        <f t="array" ref="R39">INDEX($H$6:$H$68, INT((ROWS(R$6:R39)-1)/5)+1)</f>
        <v>3</v>
      </c>
      <c r="S39" cm="1">
        <f t="array" ref="S39">INDEX($I$6:$I$68, INT((ROWS(S$6:S39)-1)/5)+1)</f>
        <v>1</v>
      </c>
      <c r="T39">
        <v>1</v>
      </c>
      <c r="U39" s="12">
        <v>93.25</v>
      </c>
    </row>
    <row r="40" spans="5:21" x14ac:dyDescent="0.25">
      <c r="E40" s="2" t="str">
        <f t="shared" si="0"/>
        <v>VK ID14</v>
      </c>
      <c r="F40">
        <v>12</v>
      </c>
      <c r="G40">
        <v>1</v>
      </c>
      <c r="H40">
        <v>1</v>
      </c>
      <c r="I40">
        <v>2</v>
      </c>
      <c r="J40">
        <v>2</v>
      </c>
      <c r="K40" s="12">
        <f t="shared" ca="1" si="1"/>
        <v>253.55</v>
      </c>
      <c r="N40" s="2" t="str">
        <f t="shared" si="2"/>
        <v>EL ID8</v>
      </c>
      <c r="O40" cm="1">
        <f t="array" ref="O40">INDEX($F$6:$F$68, INT((ROWS(O$6:O40)-1)/5)+1)</f>
        <v>3</v>
      </c>
      <c r="P40" cm="1">
        <f t="array" ref="P40">INDEX($G$6:$G$68, INT((ROWS(P$6:P40)-1)/5)+1)</f>
        <v>3</v>
      </c>
      <c r="Q40">
        <f>MOD(ROWS(Q$6:Q40)-1,5)+1</f>
        <v>5</v>
      </c>
      <c r="R40" cm="1">
        <f t="array" ref="R40">INDEX($H$6:$H$68, INT((ROWS(R$6:R40)-1)/5)+1)</f>
        <v>3</v>
      </c>
      <c r="S40" cm="1">
        <f t="array" ref="S40">INDEX($I$6:$I$68, INT((ROWS(S$6:S40)-1)/5)+1)</f>
        <v>1</v>
      </c>
      <c r="T40">
        <v>2</v>
      </c>
      <c r="U40" s="12">
        <v>69.69</v>
      </c>
    </row>
    <row r="41" spans="5:21" x14ac:dyDescent="0.25">
      <c r="E41" s="2" t="str">
        <f t="shared" si="0"/>
        <v>VK ID14</v>
      </c>
      <c r="F41">
        <v>12</v>
      </c>
      <c r="G41">
        <v>2</v>
      </c>
      <c r="H41">
        <v>2</v>
      </c>
      <c r="I41">
        <v>2</v>
      </c>
      <c r="J41">
        <v>3</v>
      </c>
      <c r="K41" s="12">
        <f t="shared" ca="1" si="1"/>
        <v>364.25</v>
      </c>
      <c r="N41" s="2" t="str">
        <f t="shared" si="2"/>
        <v>EL ID8</v>
      </c>
      <c r="O41" cm="1">
        <f t="array" ref="O41">INDEX($F$6:$F$68, INT((ROWS(O$6:O41)-1)/5)+1)</f>
        <v>3</v>
      </c>
      <c r="P41" cm="1">
        <f t="array" ref="P41">INDEX($G$6:$G$68, INT((ROWS(P$6:P41)-1)/5)+1)</f>
        <v>1</v>
      </c>
      <c r="Q41">
        <f>MOD(ROWS(Q$6:Q41)-1,5)+1</f>
        <v>1</v>
      </c>
      <c r="R41" cm="1">
        <f t="array" ref="R41">INDEX($H$6:$H$68, INT((ROWS(R$6:R41)-1)/5)+1)</f>
        <v>1</v>
      </c>
      <c r="S41" cm="1">
        <f t="array" ref="S41">INDEX($I$6:$I$68, INT((ROWS(S$6:S41)-1)/5)+1)</f>
        <v>1</v>
      </c>
      <c r="T41">
        <v>3</v>
      </c>
      <c r="U41" s="12">
        <v>72.12</v>
      </c>
    </row>
    <row r="42" spans="5:21" x14ac:dyDescent="0.25">
      <c r="E42" s="2" t="str">
        <f t="shared" si="0"/>
        <v>AuL ID10</v>
      </c>
      <c r="F42">
        <v>13</v>
      </c>
      <c r="G42">
        <v>2</v>
      </c>
      <c r="H42">
        <v>1</v>
      </c>
      <c r="I42">
        <v>2</v>
      </c>
      <c r="J42">
        <v>1</v>
      </c>
      <c r="K42" s="12">
        <f t="shared" ca="1" si="1"/>
        <v>389.03000000000003</v>
      </c>
      <c r="N42" s="2" t="str">
        <f t="shared" si="2"/>
        <v>EL ID8</v>
      </c>
      <c r="O42" cm="1">
        <f t="array" ref="O42">INDEX($F$6:$F$68, INT((ROWS(O$6:O42)-1)/5)+1)</f>
        <v>3</v>
      </c>
      <c r="P42" cm="1">
        <f t="array" ref="P42">INDEX($G$6:$G$68, INT((ROWS(P$6:P42)-1)/5)+1)</f>
        <v>1</v>
      </c>
      <c r="Q42">
        <f>MOD(ROWS(Q$6:Q42)-1,5)+1</f>
        <v>2</v>
      </c>
      <c r="R42" cm="1">
        <f t="array" ref="R42">INDEX($H$6:$H$68, INT((ROWS(R$6:R42)-1)/5)+1)</f>
        <v>1</v>
      </c>
      <c r="S42" cm="1">
        <f t="array" ref="S42">INDEX($I$6:$I$68, INT((ROWS(S$6:S42)-1)/5)+1)</f>
        <v>1</v>
      </c>
      <c r="T42">
        <v>1</v>
      </c>
      <c r="U42" s="12">
        <v>63.04</v>
      </c>
    </row>
    <row r="43" spans="5:21" x14ac:dyDescent="0.25">
      <c r="E43" s="2" t="str">
        <f t="shared" si="0"/>
        <v>AuL ID10</v>
      </c>
      <c r="F43">
        <v>13</v>
      </c>
      <c r="G43">
        <v>3</v>
      </c>
      <c r="H43">
        <v>2</v>
      </c>
      <c r="I43">
        <v>2</v>
      </c>
      <c r="J43">
        <v>2</v>
      </c>
      <c r="K43" s="12">
        <f t="shared" ca="1" si="1"/>
        <v>403.16999999999996</v>
      </c>
      <c r="N43" s="2" t="str">
        <f t="shared" si="2"/>
        <v>EL ID8</v>
      </c>
      <c r="O43" cm="1">
        <f t="array" ref="O43">INDEX($F$6:$F$68, INT((ROWS(O$6:O43)-1)/5)+1)</f>
        <v>3</v>
      </c>
      <c r="P43" cm="1">
        <f t="array" ref="P43">INDEX($G$6:$G$68, INT((ROWS(P$6:P43)-1)/5)+1)</f>
        <v>1</v>
      </c>
      <c r="Q43">
        <f>MOD(ROWS(Q$6:Q43)-1,5)+1</f>
        <v>3</v>
      </c>
      <c r="R43" cm="1">
        <f t="array" ref="R43">INDEX($H$6:$H$68, INT((ROWS(R$6:R43)-1)/5)+1)</f>
        <v>1</v>
      </c>
      <c r="S43" cm="1">
        <f t="array" ref="S43">INDEX($I$6:$I$68, INT((ROWS(S$6:S43)-1)/5)+1)</f>
        <v>1</v>
      </c>
      <c r="T43">
        <v>2</v>
      </c>
      <c r="U43" s="12">
        <v>51.84</v>
      </c>
    </row>
    <row r="44" spans="5:21" x14ac:dyDescent="0.25">
      <c r="E44" s="2" t="str">
        <f t="shared" si="0"/>
        <v>AuL ID10</v>
      </c>
      <c r="F44">
        <v>13</v>
      </c>
      <c r="G44">
        <v>1</v>
      </c>
      <c r="H44">
        <v>3</v>
      </c>
      <c r="I44">
        <v>2</v>
      </c>
      <c r="J44">
        <v>3</v>
      </c>
      <c r="K44" s="12">
        <f t="shared" ca="1" si="1"/>
        <v>288.96000000000004</v>
      </c>
      <c r="N44" s="2" t="str">
        <f t="shared" si="2"/>
        <v>EL ID8</v>
      </c>
      <c r="O44" cm="1">
        <f t="array" ref="O44">INDEX($F$6:$F$68, INT((ROWS(O$6:O44)-1)/5)+1)</f>
        <v>3</v>
      </c>
      <c r="P44" cm="1">
        <f t="array" ref="P44">INDEX($G$6:$G$68, INT((ROWS(P$6:P44)-1)/5)+1)</f>
        <v>1</v>
      </c>
      <c r="Q44">
        <f>MOD(ROWS(Q$6:Q44)-1,5)+1</f>
        <v>4</v>
      </c>
      <c r="R44" cm="1">
        <f t="array" ref="R44">INDEX($H$6:$H$68, INT((ROWS(R$6:R44)-1)/5)+1)</f>
        <v>1</v>
      </c>
      <c r="S44" cm="1">
        <f t="array" ref="S44">INDEX($I$6:$I$68, INT((ROWS(S$6:S44)-1)/5)+1)</f>
        <v>1</v>
      </c>
      <c r="T44">
        <v>3</v>
      </c>
      <c r="U44" s="12">
        <v>54.28</v>
      </c>
    </row>
    <row r="45" spans="5:21" x14ac:dyDescent="0.25">
      <c r="E45" s="2" t="str">
        <f t="shared" si="0"/>
        <v>BS ID12</v>
      </c>
      <c r="F45">
        <v>14</v>
      </c>
      <c r="G45">
        <v>3</v>
      </c>
      <c r="H45">
        <v>2</v>
      </c>
      <c r="I45">
        <v>2</v>
      </c>
      <c r="J45">
        <v>1</v>
      </c>
      <c r="K45" s="12">
        <f t="shared" ca="1" si="1"/>
        <v>358.28999999999996</v>
      </c>
      <c r="N45" s="2" t="str">
        <f t="shared" si="2"/>
        <v>EL ID8</v>
      </c>
      <c r="O45" cm="1">
        <f t="array" ref="O45">INDEX($F$6:$F$68, INT((ROWS(O$6:O45)-1)/5)+1)</f>
        <v>3</v>
      </c>
      <c r="P45" cm="1">
        <f t="array" ref="P45">INDEX($G$6:$G$68, INT((ROWS(P$6:P45)-1)/5)+1)</f>
        <v>1</v>
      </c>
      <c r="Q45">
        <f>MOD(ROWS(Q$6:Q45)-1,5)+1</f>
        <v>5</v>
      </c>
      <c r="R45" cm="1">
        <f t="array" ref="R45">INDEX($H$6:$H$68, INT((ROWS(R$6:R45)-1)/5)+1)</f>
        <v>1</v>
      </c>
      <c r="S45" cm="1">
        <f t="array" ref="S45">INDEX($I$6:$I$68, INT((ROWS(S$6:S45)-1)/5)+1)</f>
        <v>1</v>
      </c>
      <c r="T45">
        <v>1</v>
      </c>
      <c r="U45" s="12">
        <v>55.54</v>
      </c>
    </row>
    <row r="46" spans="5:21" x14ac:dyDescent="0.25">
      <c r="E46" s="2" t="str">
        <f t="shared" si="0"/>
        <v>BS ID12</v>
      </c>
      <c r="F46">
        <v>14</v>
      </c>
      <c r="G46">
        <v>1</v>
      </c>
      <c r="H46">
        <v>3</v>
      </c>
      <c r="I46">
        <v>2</v>
      </c>
      <c r="J46">
        <v>2</v>
      </c>
      <c r="K46" s="12">
        <f t="shared" ca="1" si="1"/>
        <v>258.39</v>
      </c>
      <c r="N46" s="2" t="str">
        <f t="shared" si="2"/>
        <v>EL ID8</v>
      </c>
      <c r="O46" cm="1">
        <f t="array" ref="O46">INDEX($F$6:$F$68, INT((ROWS(O$6:O46)-1)/5)+1)</f>
        <v>3</v>
      </c>
      <c r="P46" cm="1">
        <f t="array" ref="P46">INDEX($G$6:$G$68, INT((ROWS(P$6:P46)-1)/5)+1)</f>
        <v>2</v>
      </c>
      <c r="Q46">
        <f>MOD(ROWS(Q$6:Q46)-1,5)+1</f>
        <v>1</v>
      </c>
      <c r="R46" cm="1">
        <f t="array" ref="R46">INDEX($H$6:$H$68, INT((ROWS(R$6:R46)-1)/5)+1)</f>
        <v>2</v>
      </c>
      <c r="S46" cm="1">
        <f t="array" ref="S46">INDEX($I$6:$I$68, INT((ROWS(S$6:S46)-1)/5)+1)</f>
        <v>1</v>
      </c>
      <c r="T46">
        <v>2</v>
      </c>
      <c r="U46" s="12">
        <v>106.94</v>
      </c>
    </row>
    <row r="47" spans="5:21" x14ac:dyDescent="0.25">
      <c r="E47" s="2" t="str">
        <f t="shared" si="0"/>
        <v>BS ID12</v>
      </c>
      <c r="F47">
        <v>14</v>
      </c>
      <c r="G47">
        <v>2</v>
      </c>
      <c r="H47">
        <v>1</v>
      </c>
      <c r="I47">
        <v>2</v>
      </c>
      <c r="J47">
        <v>3</v>
      </c>
      <c r="K47" s="12">
        <f t="shared" ca="1" si="1"/>
        <v>353.25</v>
      </c>
      <c r="N47" s="2" t="str">
        <f t="shared" si="2"/>
        <v>EL ID8</v>
      </c>
      <c r="O47" cm="1">
        <f t="array" ref="O47">INDEX($F$6:$F$68, INT((ROWS(O$6:O47)-1)/5)+1)</f>
        <v>3</v>
      </c>
      <c r="P47" cm="1">
        <f t="array" ref="P47">INDEX($G$6:$G$68, INT((ROWS(P$6:P47)-1)/5)+1)</f>
        <v>2</v>
      </c>
      <c r="Q47">
        <f>MOD(ROWS(Q$6:Q47)-1,5)+1</f>
        <v>2</v>
      </c>
      <c r="R47" cm="1">
        <f t="array" ref="R47">INDEX($H$6:$H$68, INT((ROWS(R$6:R47)-1)/5)+1)</f>
        <v>2</v>
      </c>
      <c r="S47" cm="1">
        <f t="array" ref="S47">INDEX($I$6:$I$68, INT((ROWS(S$6:S47)-1)/5)+1)</f>
        <v>1</v>
      </c>
      <c r="T47">
        <v>3</v>
      </c>
      <c r="U47" s="12">
        <v>87.33</v>
      </c>
    </row>
    <row r="48" spans="5:21" x14ac:dyDescent="0.25">
      <c r="E48" s="2" t="str">
        <f t="shared" si="0"/>
        <v>NB ID3</v>
      </c>
      <c r="F48">
        <v>15</v>
      </c>
      <c r="G48">
        <v>1</v>
      </c>
      <c r="H48">
        <v>3</v>
      </c>
      <c r="I48">
        <v>3</v>
      </c>
      <c r="J48">
        <v>1</v>
      </c>
      <c r="K48" s="12">
        <f t="shared" ca="1" si="1"/>
        <v>246.27</v>
      </c>
      <c r="N48" s="2" t="str">
        <f t="shared" si="2"/>
        <v>EL ID8</v>
      </c>
      <c r="O48" cm="1">
        <f t="array" ref="O48">INDEX($F$6:$F$68, INT((ROWS(O$6:O48)-1)/5)+1)</f>
        <v>3</v>
      </c>
      <c r="P48" cm="1">
        <f t="array" ref="P48">INDEX($G$6:$G$68, INT((ROWS(P$6:P48)-1)/5)+1)</f>
        <v>2</v>
      </c>
      <c r="Q48">
        <f>MOD(ROWS(Q$6:Q48)-1,5)+1</f>
        <v>3</v>
      </c>
      <c r="R48" cm="1">
        <f t="array" ref="R48">INDEX($H$6:$H$68, INT((ROWS(R$6:R48)-1)/5)+1)</f>
        <v>2</v>
      </c>
      <c r="S48" cm="1">
        <f t="array" ref="S48">INDEX($I$6:$I$68, INT((ROWS(S$6:S48)-1)/5)+1)</f>
        <v>1</v>
      </c>
      <c r="T48">
        <v>1</v>
      </c>
      <c r="U48" s="12">
        <v>87.44</v>
      </c>
    </row>
    <row r="49" spans="5:21" x14ac:dyDescent="0.25">
      <c r="E49" s="2" t="str">
        <f t="shared" si="0"/>
        <v>NB ID3</v>
      </c>
      <c r="F49">
        <v>15</v>
      </c>
      <c r="G49">
        <v>2</v>
      </c>
      <c r="H49">
        <v>1</v>
      </c>
      <c r="I49">
        <v>3</v>
      </c>
      <c r="J49">
        <v>2</v>
      </c>
      <c r="K49" s="12">
        <f t="shared" ca="1" si="1"/>
        <v>316.17</v>
      </c>
      <c r="N49" s="2" t="str">
        <f t="shared" si="2"/>
        <v>EL ID8</v>
      </c>
      <c r="O49" cm="1">
        <f t="array" ref="O49">INDEX($F$6:$F$68, INT((ROWS(O$6:O49)-1)/5)+1)</f>
        <v>3</v>
      </c>
      <c r="P49" cm="1">
        <f t="array" ref="P49">INDEX($G$6:$G$68, INT((ROWS(P$6:P49)-1)/5)+1)</f>
        <v>2</v>
      </c>
      <c r="Q49">
        <f>MOD(ROWS(Q$6:Q49)-1,5)+1</f>
        <v>4</v>
      </c>
      <c r="R49" cm="1">
        <f t="array" ref="R49">INDEX($H$6:$H$68, INT((ROWS(R$6:R49)-1)/5)+1)</f>
        <v>2</v>
      </c>
      <c r="S49" cm="1">
        <f t="array" ref="S49">INDEX($I$6:$I$68, INT((ROWS(S$6:S49)-1)/5)+1)</f>
        <v>1</v>
      </c>
      <c r="T49">
        <v>2</v>
      </c>
      <c r="U49" s="12">
        <v>80.5</v>
      </c>
    </row>
    <row r="50" spans="5:21" x14ac:dyDescent="0.25">
      <c r="E50" s="2" t="str">
        <f t="shared" si="0"/>
        <v>NB ID3</v>
      </c>
      <c r="F50">
        <v>15</v>
      </c>
      <c r="G50">
        <v>3</v>
      </c>
      <c r="H50">
        <v>2</v>
      </c>
      <c r="I50">
        <v>3</v>
      </c>
      <c r="J50">
        <v>3</v>
      </c>
      <c r="K50" s="12">
        <f t="shared" ca="1" si="1"/>
        <v>323.32</v>
      </c>
      <c r="N50" s="2" t="str">
        <f t="shared" si="2"/>
        <v>EL ID8</v>
      </c>
      <c r="O50" cm="1">
        <f t="array" ref="O50">INDEX($F$6:$F$68, INT((ROWS(O$6:O50)-1)/5)+1)</f>
        <v>3</v>
      </c>
      <c r="P50" cm="1">
        <f t="array" ref="P50">INDEX($G$6:$G$68, INT((ROWS(P$6:P50)-1)/5)+1)</f>
        <v>2</v>
      </c>
      <c r="Q50">
        <f>MOD(ROWS(Q$6:Q50)-1,5)+1</f>
        <v>5</v>
      </c>
      <c r="R50" cm="1">
        <f t="array" ref="R50">INDEX($H$6:$H$68, INT((ROWS(R$6:R50)-1)/5)+1)</f>
        <v>2</v>
      </c>
      <c r="S50" cm="1">
        <f t="array" ref="S50">INDEX($I$6:$I$68, INT((ROWS(S$6:S50)-1)/5)+1)</f>
        <v>1</v>
      </c>
      <c r="T50">
        <v>3</v>
      </c>
      <c r="U50" s="12">
        <v>80.5</v>
      </c>
    </row>
    <row r="51" spans="5:21" x14ac:dyDescent="0.25">
      <c r="E51" s="2" t="str">
        <f t="shared" si="0"/>
        <v>AS ID6</v>
      </c>
      <c r="F51">
        <v>16</v>
      </c>
      <c r="G51">
        <v>3</v>
      </c>
      <c r="H51">
        <v>1</v>
      </c>
      <c r="I51">
        <v>3</v>
      </c>
      <c r="J51">
        <v>1</v>
      </c>
      <c r="K51" s="12">
        <f t="shared" ca="1" si="1"/>
        <v>308.42999999999995</v>
      </c>
      <c r="N51" s="2" t="str">
        <f t="shared" si="2"/>
        <v>MK ID11</v>
      </c>
      <c r="O51" cm="1">
        <f t="array" ref="O51">INDEX($F$6:$F$68, INT((ROWS(O$6:O51)-1)/5)+1)</f>
        <v>4</v>
      </c>
      <c r="P51" cm="1">
        <f t="array" ref="P51">INDEX($G$6:$G$68, INT((ROWS(P$6:P51)-1)/5)+1)</f>
        <v>2</v>
      </c>
      <c r="Q51">
        <f>MOD(ROWS(Q$6:Q51)-1,5)+1</f>
        <v>1</v>
      </c>
      <c r="R51" cm="1">
        <f t="array" ref="R51">INDEX($H$6:$H$68, INT((ROWS(R$6:R51)-1)/5)+1)</f>
        <v>1</v>
      </c>
      <c r="S51" cm="1">
        <f t="array" ref="S51">INDEX($I$6:$I$68, INT((ROWS(S$6:S51)-1)/5)+1)</f>
        <v>1</v>
      </c>
      <c r="T51">
        <v>1</v>
      </c>
      <c r="U51">
        <v>95.6</v>
      </c>
    </row>
    <row r="52" spans="5:21" x14ac:dyDescent="0.25">
      <c r="E52" s="2" t="str">
        <f t="shared" si="0"/>
        <v>AS ID6</v>
      </c>
      <c r="F52">
        <v>16</v>
      </c>
      <c r="G52">
        <v>1</v>
      </c>
      <c r="H52">
        <v>2</v>
      </c>
      <c r="I52">
        <v>3</v>
      </c>
      <c r="J52">
        <v>2</v>
      </c>
      <c r="K52" s="12">
        <f t="shared" ca="1" si="1"/>
        <v>223.85999999999999</v>
      </c>
      <c r="N52" s="2" t="str">
        <f t="shared" si="2"/>
        <v>MK ID11</v>
      </c>
      <c r="O52" cm="1">
        <f t="array" ref="O52">INDEX($F$6:$F$68, INT((ROWS(O$6:O52)-1)/5)+1)</f>
        <v>4</v>
      </c>
      <c r="P52" cm="1">
        <f t="array" ref="P52">INDEX($G$6:$G$68, INT((ROWS(P$6:P52)-1)/5)+1)</f>
        <v>2</v>
      </c>
      <c r="Q52">
        <f>MOD(ROWS(Q$6:Q52)-1,5)+1</f>
        <v>2</v>
      </c>
      <c r="R52" cm="1">
        <f t="array" ref="R52">INDEX($H$6:$H$68, INT((ROWS(R$6:R52)-1)/5)+1)</f>
        <v>1</v>
      </c>
      <c r="S52" cm="1">
        <f t="array" ref="S52">INDEX($I$6:$I$68, INT((ROWS(S$6:S52)-1)/5)+1)</f>
        <v>1</v>
      </c>
      <c r="T52">
        <v>2</v>
      </c>
      <c r="U52">
        <v>78.760000000000005</v>
      </c>
    </row>
    <row r="53" spans="5:21" x14ac:dyDescent="0.25">
      <c r="E53" s="2" t="str">
        <f t="shared" si="0"/>
        <v>AS ID6</v>
      </c>
      <c r="F53">
        <v>16</v>
      </c>
      <c r="G53">
        <v>2</v>
      </c>
      <c r="H53">
        <v>3</v>
      </c>
      <c r="I53">
        <v>3</v>
      </c>
      <c r="J53">
        <v>3</v>
      </c>
      <c r="K53" s="12">
        <f t="shared" ca="1" si="1"/>
        <v>0</v>
      </c>
      <c r="N53" s="2" t="str">
        <f t="shared" si="2"/>
        <v>MK ID11</v>
      </c>
      <c r="O53" cm="1">
        <f t="array" ref="O53">INDEX($F$6:$F$68, INT((ROWS(O$6:O53)-1)/5)+1)</f>
        <v>4</v>
      </c>
      <c r="P53" cm="1">
        <f t="array" ref="P53">INDEX($G$6:$G$68, INT((ROWS(P$6:P53)-1)/5)+1)</f>
        <v>2</v>
      </c>
      <c r="Q53">
        <f>MOD(ROWS(Q$6:Q53)-1,5)+1</f>
        <v>3</v>
      </c>
      <c r="R53" cm="1">
        <f t="array" ref="R53">INDEX($H$6:$H$68, INT((ROWS(R$6:R53)-1)/5)+1)</f>
        <v>1</v>
      </c>
      <c r="S53" cm="1">
        <f t="array" ref="S53">INDEX($I$6:$I$68, INT((ROWS(S$6:S53)-1)/5)+1)</f>
        <v>1</v>
      </c>
      <c r="T53">
        <v>3</v>
      </c>
      <c r="U53">
        <v>81.099999999999994</v>
      </c>
    </row>
    <row r="54" spans="5:21" x14ac:dyDescent="0.25">
      <c r="E54" s="2" t="str">
        <f t="shared" si="0"/>
        <v>IA ID16</v>
      </c>
      <c r="F54">
        <v>17</v>
      </c>
      <c r="G54">
        <v>1</v>
      </c>
      <c r="H54">
        <v>2</v>
      </c>
      <c r="I54">
        <v>3</v>
      </c>
      <c r="J54">
        <v>1</v>
      </c>
      <c r="K54" s="12">
        <f t="shared" ca="1" si="1"/>
        <v>227.06</v>
      </c>
      <c r="N54" s="2" t="str">
        <f t="shared" si="2"/>
        <v>MK ID11</v>
      </c>
      <c r="O54" cm="1">
        <f t="array" ref="O54">INDEX($F$6:$F$68, INT((ROWS(O$6:O54)-1)/5)+1)</f>
        <v>4</v>
      </c>
      <c r="P54" cm="1">
        <f t="array" ref="P54">INDEX($G$6:$G$68, INT((ROWS(P$6:P54)-1)/5)+1)</f>
        <v>2</v>
      </c>
      <c r="Q54">
        <f>MOD(ROWS(Q$6:Q54)-1,5)+1</f>
        <v>4</v>
      </c>
      <c r="R54" cm="1">
        <f t="array" ref="R54">INDEX($H$6:$H$68, INT((ROWS(R$6:R54)-1)/5)+1)</f>
        <v>1</v>
      </c>
      <c r="S54" cm="1">
        <f t="array" ref="S54">INDEX($I$6:$I$68, INT((ROWS(S$6:S54)-1)/5)+1)</f>
        <v>1</v>
      </c>
      <c r="T54">
        <v>1</v>
      </c>
      <c r="U54">
        <v>72.489999999999995</v>
      </c>
    </row>
    <row r="55" spans="5:21" x14ac:dyDescent="0.25">
      <c r="E55" s="2" t="str">
        <f t="shared" si="0"/>
        <v>IA ID16</v>
      </c>
      <c r="F55">
        <v>17</v>
      </c>
      <c r="G55">
        <v>2</v>
      </c>
      <c r="H55">
        <v>3</v>
      </c>
      <c r="I55">
        <v>3</v>
      </c>
      <c r="J55">
        <v>2</v>
      </c>
      <c r="K55" s="12">
        <f t="shared" ca="1" si="1"/>
        <v>290.58</v>
      </c>
      <c r="N55" s="2" t="str">
        <f t="shared" si="2"/>
        <v>MK ID11</v>
      </c>
      <c r="O55" cm="1">
        <f t="array" ref="O55">INDEX($F$6:$F$68, INT((ROWS(O$6:O55)-1)/5)+1)</f>
        <v>4</v>
      </c>
      <c r="P55" cm="1">
        <f t="array" ref="P55">INDEX($G$6:$G$68, INT((ROWS(P$6:P55)-1)/5)+1)</f>
        <v>2</v>
      </c>
      <c r="Q55">
        <f>MOD(ROWS(Q$6:Q55)-1,5)+1</f>
        <v>5</v>
      </c>
      <c r="R55" cm="1">
        <f t="array" ref="R55">INDEX($H$6:$H$68, INT((ROWS(R$6:R55)-1)/5)+1)</f>
        <v>1</v>
      </c>
      <c r="S55" cm="1">
        <f t="array" ref="S55">INDEX($I$6:$I$68, INT((ROWS(S$6:S55)-1)/5)+1)</f>
        <v>1</v>
      </c>
      <c r="T55">
        <v>2</v>
      </c>
      <c r="U55">
        <v>78.78</v>
      </c>
    </row>
    <row r="56" spans="5:21" x14ac:dyDescent="0.25">
      <c r="E56" s="2" t="str">
        <f t="shared" si="0"/>
        <v>IA ID16</v>
      </c>
      <c r="F56">
        <v>17</v>
      </c>
      <c r="G56">
        <v>3</v>
      </c>
      <c r="H56">
        <v>1</v>
      </c>
      <c r="I56">
        <v>3</v>
      </c>
      <c r="J56">
        <v>3</v>
      </c>
      <c r="K56" s="12">
        <f t="shared" ca="1" si="1"/>
        <v>284.49</v>
      </c>
      <c r="N56" s="2" t="str">
        <f t="shared" si="2"/>
        <v>MK ID11</v>
      </c>
      <c r="O56" cm="1">
        <f t="array" ref="O56">INDEX($F$6:$F$68, INT((ROWS(O$6:O56)-1)/5)+1)</f>
        <v>4</v>
      </c>
      <c r="P56" cm="1">
        <f t="array" ref="P56">INDEX($G$6:$G$68, INT((ROWS(P$6:P56)-1)/5)+1)</f>
        <v>3</v>
      </c>
      <c r="Q56">
        <f>MOD(ROWS(Q$6:Q56)-1,5)+1</f>
        <v>1</v>
      </c>
      <c r="R56" cm="1">
        <f t="array" ref="R56">INDEX($H$6:$H$68, INT((ROWS(R$6:R56)-1)/5)+1)</f>
        <v>2</v>
      </c>
      <c r="S56" cm="1">
        <f t="array" ref="S56">INDEX($I$6:$I$68, INT((ROWS(S$6:S56)-1)/5)+1)</f>
        <v>1</v>
      </c>
      <c r="T56">
        <v>3</v>
      </c>
      <c r="U56" s="15">
        <v>73.510000000000005</v>
      </c>
    </row>
    <row r="57" spans="5:21" x14ac:dyDescent="0.25">
      <c r="E57" s="2" t="str">
        <f t="shared" si="0"/>
        <v>MaL ID19</v>
      </c>
      <c r="F57">
        <v>18</v>
      </c>
      <c r="G57">
        <v>2</v>
      </c>
      <c r="H57">
        <v>3</v>
      </c>
      <c r="I57">
        <v>3</v>
      </c>
      <c r="J57">
        <v>1</v>
      </c>
      <c r="K57" s="12">
        <f t="shared" ca="1" si="1"/>
        <v>343.65</v>
      </c>
      <c r="N57" s="2" t="str">
        <f t="shared" si="2"/>
        <v>MK ID11</v>
      </c>
      <c r="O57" cm="1">
        <f t="array" ref="O57">INDEX($F$6:$F$68, INT((ROWS(O$6:O57)-1)/5)+1)</f>
        <v>4</v>
      </c>
      <c r="P57" cm="1">
        <f t="array" ref="P57">INDEX($G$6:$G$68, INT((ROWS(P$6:P57)-1)/5)+1)</f>
        <v>3</v>
      </c>
      <c r="Q57">
        <f>MOD(ROWS(Q$6:Q57)-1,5)+1</f>
        <v>2</v>
      </c>
      <c r="R57" cm="1">
        <f t="array" ref="R57">INDEX($H$6:$H$68, INT((ROWS(R$6:R57)-1)/5)+1)</f>
        <v>2</v>
      </c>
      <c r="S57" cm="1">
        <f t="array" ref="S57">INDEX($I$6:$I$68, INT((ROWS(S$6:S57)-1)/5)+1)</f>
        <v>1</v>
      </c>
      <c r="T57">
        <v>1</v>
      </c>
      <c r="U57" s="15">
        <v>73.67</v>
      </c>
    </row>
    <row r="58" spans="5:21" x14ac:dyDescent="0.25">
      <c r="E58" s="2" t="str">
        <f t="shared" si="0"/>
        <v>MaL ID19</v>
      </c>
      <c r="F58">
        <v>18</v>
      </c>
      <c r="G58">
        <v>3</v>
      </c>
      <c r="H58">
        <v>1</v>
      </c>
      <c r="I58">
        <v>3</v>
      </c>
      <c r="J58">
        <v>2</v>
      </c>
      <c r="K58" s="12">
        <f t="shared" ca="1" si="1"/>
        <v>338.34000000000003</v>
      </c>
      <c r="N58" s="2" t="str">
        <f t="shared" si="2"/>
        <v>MK ID11</v>
      </c>
      <c r="O58" cm="1">
        <f t="array" ref="O58">INDEX($F$6:$F$68, INT((ROWS(O$6:O58)-1)/5)+1)</f>
        <v>4</v>
      </c>
      <c r="P58" cm="1">
        <f t="array" ref="P58">INDEX($G$6:$G$68, INT((ROWS(P$6:P58)-1)/5)+1)</f>
        <v>3</v>
      </c>
      <c r="Q58">
        <f>MOD(ROWS(Q$6:Q58)-1,5)+1</f>
        <v>3</v>
      </c>
      <c r="R58" cm="1">
        <f t="array" ref="R58">INDEX($H$6:$H$68, INT((ROWS(R$6:R58)-1)/5)+1)</f>
        <v>2</v>
      </c>
      <c r="S58" cm="1">
        <f t="array" ref="S58">INDEX($I$6:$I$68, INT((ROWS(S$6:S58)-1)/5)+1)</f>
        <v>1</v>
      </c>
      <c r="T58">
        <v>2</v>
      </c>
      <c r="U58" s="15">
        <v>71.819999999999993</v>
      </c>
    </row>
    <row r="59" spans="5:21" x14ac:dyDescent="0.25">
      <c r="E59" s="2" t="str">
        <f t="shared" si="0"/>
        <v>MaL ID19</v>
      </c>
      <c r="F59">
        <v>18</v>
      </c>
      <c r="G59">
        <v>1</v>
      </c>
      <c r="H59">
        <v>2</v>
      </c>
      <c r="I59">
        <v>3</v>
      </c>
      <c r="J59">
        <v>3</v>
      </c>
      <c r="K59" s="12">
        <f t="shared" ca="1" si="1"/>
        <v>241.56</v>
      </c>
      <c r="N59" s="2" t="str">
        <f t="shared" si="2"/>
        <v>MK ID11</v>
      </c>
      <c r="O59" cm="1">
        <f t="array" ref="O59">INDEX($F$6:$F$68, INT((ROWS(O$6:O59)-1)/5)+1)</f>
        <v>4</v>
      </c>
      <c r="P59" cm="1">
        <f t="array" ref="P59">INDEX($G$6:$G$68, INT((ROWS(P$6:P59)-1)/5)+1)</f>
        <v>3</v>
      </c>
      <c r="Q59">
        <f>MOD(ROWS(Q$6:Q59)-1,5)+1</f>
        <v>4</v>
      </c>
      <c r="R59" cm="1">
        <f t="array" ref="R59">INDEX($H$6:$H$68, INT((ROWS(R$6:R59)-1)/5)+1)</f>
        <v>2</v>
      </c>
      <c r="S59" cm="1">
        <f t="array" ref="S59">INDEX($I$6:$I$68, INT((ROWS(S$6:S59)-1)/5)+1)</f>
        <v>1</v>
      </c>
      <c r="T59">
        <v>3</v>
      </c>
      <c r="U59" s="15">
        <v>72.03</v>
      </c>
    </row>
    <row r="60" spans="5:21" x14ac:dyDescent="0.25">
      <c r="E60" s="2" t="str">
        <f t="shared" si="0"/>
        <v>NP ID20</v>
      </c>
      <c r="F60">
        <v>19</v>
      </c>
      <c r="G60">
        <v>1</v>
      </c>
      <c r="H60">
        <v>1</v>
      </c>
      <c r="I60">
        <v>3</v>
      </c>
      <c r="J60">
        <v>1</v>
      </c>
      <c r="K60" s="12">
        <f t="shared" ca="1" si="1"/>
        <v>274.04000000000002</v>
      </c>
      <c r="N60" s="2" t="str">
        <f t="shared" si="2"/>
        <v>MK ID11</v>
      </c>
      <c r="O60" cm="1">
        <f t="array" ref="O60">INDEX($F$6:$F$68, INT((ROWS(O$6:O60)-1)/5)+1)</f>
        <v>4</v>
      </c>
      <c r="P60" cm="1">
        <f t="array" ref="P60">INDEX($G$6:$G$68, INT((ROWS(P$6:P60)-1)/5)+1)</f>
        <v>3</v>
      </c>
      <c r="Q60">
        <f>MOD(ROWS(Q$6:Q60)-1,5)+1</f>
        <v>5</v>
      </c>
      <c r="R60" cm="1">
        <f t="array" ref="R60">INDEX($H$6:$H$68, INT((ROWS(R$6:R60)-1)/5)+1)</f>
        <v>2</v>
      </c>
      <c r="S60" cm="1">
        <f t="array" ref="S60">INDEX($I$6:$I$68, INT((ROWS(S$6:S60)-1)/5)+1)</f>
        <v>1</v>
      </c>
      <c r="T60">
        <v>1</v>
      </c>
      <c r="U60" s="15">
        <v>68.17</v>
      </c>
    </row>
    <row r="61" spans="5:21" x14ac:dyDescent="0.25">
      <c r="E61" s="2" t="str">
        <f t="shared" si="0"/>
        <v>NP ID20</v>
      </c>
      <c r="F61">
        <v>19</v>
      </c>
      <c r="G61">
        <v>2</v>
      </c>
      <c r="H61">
        <v>2</v>
      </c>
      <c r="I61">
        <v>3</v>
      </c>
      <c r="J61">
        <v>2</v>
      </c>
      <c r="K61" s="12">
        <f t="shared" ca="1" si="1"/>
        <v>372.49</v>
      </c>
      <c r="N61" s="2" t="str">
        <f t="shared" si="2"/>
        <v>MK ID11</v>
      </c>
      <c r="O61" cm="1">
        <f t="array" ref="O61">INDEX($F$6:$F$68, INT((ROWS(O$6:O61)-1)/5)+1)</f>
        <v>4</v>
      </c>
      <c r="P61" cm="1">
        <f t="array" ref="P61">INDEX($G$6:$G$68, INT((ROWS(P$6:P61)-1)/5)+1)</f>
        <v>1</v>
      </c>
      <c r="Q61">
        <f>MOD(ROWS(Q$6:Q61)-1,5)+1</f>
        <v>1</v>
      </c>
      <c r="R61" cm="1">
        <f t="array" ref="R61">INDEX($H$6:$H$68, INT((ROWS(R$6:R61)-1)/5)+1)</f>
        <v>3</v>
      </c>
      <c r="S61" cm="1">
        <f t="array" ref="S61">INDEX($I$6:$I$68, INT((ROWS(S$6:S61)-1)/5)+1)</f>
        <v>1</v>
      </c>
      <c r="T61">
        <v>2</v>
      </c>
      <c r="U61">
        <v>53.79</v>
      </c>
    </row>
    <row r="62" spans="5:21" x14ac:dyDescent="0.25">
      <c r="E62" s="2" t="str">
        <f t="shared" si="0"/>
        <v>NP ID20</v>
      </c>
      <c r="F62">
        <v>19</v>
      </c>
      <c r="G62">
        <v>3</v>
      </c>
      <c r="H62">
        <v>3</v>
      </c>
      <c r="I62">
        <v>3</v>
      </c>
      <c r="J62">
        <v>3</v>
      </c>
      <c r="K62" s="12">
        <f t="shared" ca="1" si="1"/>
        <v>340.59000000000003</v>
      </c>
      <c r="N62" s="2" t="str">
        <f t="shared" si="2"/>
        <v>MK ID11</v>
      </c>
      <c r="O62" cm="1">
        <f t="array" ref="O62">INDEX($F$6:$F$68, INT((ROWS(O$6:O62)-1)/5)+1)</f>
        <v>4</v>
      </c>
      <c r="P62" cm="1">
        <f t="array" ref="P62">INDEX($G$6:$G$68, INT((ROWS(P$6:P62)-1)/5)+1)</f>
        <v>1</v>
      </c>
      <c r="Q62">
        <f>MOD(ROWS(Q$6:Q62)-1,5)+1</f>
        <v>2</v>
      </c>
      <c r="R62" cm="1">
        <f t="array" ref="R62">INDEX($H$6:$H$68, INT((ROWS(R$6:R62)-1)/5)+1)</f>
        <v>3</v>
      </c>
      <c r="S62" cm="1">
        <f t="array" ref="S62">INDEX($I$6:$I$68, INT((ROWS(S$6:S62)-1)/5)+1)</f>
        <v>1</v>
      </c>
      <c r="T62">
        <v>3</v>
      </c>
      <c r="U62">
        <v>67.08</v>
      </c>
    </row>
    <row r="63" spans="5:21" x14ac:dyDescent="0.25">
      <c r="E63" s="2" t="str">
        <f t="shared" si="0"/>
        <v>FW ID22</v>
      </c>
      <c r="F63">
        <v>20</v>
      </c>
      <c r="G63">
        <v>2</v>
      </c>
      <c r="H63">
        <v>2</v>
      </c>
      <c r="I63">
        <v>3</v>
      </c>
      <c r="J63">
        <v>1</v>
      </c>
      <c r="K63" s="12">
        <f t="shared" ca="1" si="1"/>
        <v>298.13</v>
      </c>
      <c r="N63" s="2" t="str">
        <f t="shared" si="2"/>
        <v>MK ID11</v>
      </c>
      <c r="O63" cm="1">
        <f t="array" ref="O63">INDEX($F$6:$F$68, INT((ROWS(O$6:O63)-1)/5)+1)</f>
        <v>4</v>
      </c>
      <c r="P63" cm="1">
        <f t="array" ref="P63">INDEX($G$6:$G$68, INT((ROWS(P$6:P63)-1)/5)+1)</f>
        <v>1</v>
      </c>
      <c r="Q63">
        <f>MOD(ROWS(Q$6:Q63)-1,5)+1</f>
        <v>3</v>
      </c>
      <c r="R63" cm="1">
        <f t="array" ref="R63">INDEX($H$6:$H$68, INT((ROWS(R$6:R63)-1)/5)+1)</f>
        <v>3</v>
      </c>
      <c r="S63" cm="1">
        <f t="array" ref="S63">INDEX($I$6:$I$68, INT((ROWS(S$6:S63)-1)/5)+1)</f>
        <v>1</v>
      </c>
      <c r="T63">
        <v>1</v>
      </c>
      <c r="U63">
        <v>50.58</v>
      </c>
    </row>
    <row r="64" spans="5:21" x14ac:dyDescent="0.25">
      <c r="E64" s="2" t="str">
        <f t="shared" si="0"/>
        <v>FW ID22</v>
      </c>
      <c r="F64">
        <v>20</v>
      </c>
      <c r="G64">
        <v>3</v>
      </c>
      <c r="H64">
        <v>3</v>
      </c>
      <c r="I64">
        <v>3</v>
      </c>
      <c r="J64">
        <v>2</v>
      </c>
      <c r="K64" s="12">
        <f t="shared" ca="1" si="1"/>
        <v>295.04000000000002</v>
      </c>
      <c r="N64" s="2" t="str">
        <f t="shared" si="2"/>
        <v>MK ID11</v>
      </c>
      <c r="O64" cm="1">
        <f t="array" ref="O64">INDEX($F$6:$F$68, INT((ROWS(O$6:O64)-1)/5)+1)</f>
        <v>4</v>
      </c>
      <c r="P64" cm="1">
        <f t="array" ref="P64">INDEX($G$6:$G$68, INT((ROWS(P$6:P64)-1)/5)+1)</f>
        <v>1</v>
      </c>
      <c r="Q64">
        <f>MOD(ROWS(Q$6:Q64)-1,5)+1</f>
        <v>4</v>
      </c>
      <c r="R64" cm="1">
        <f t="array" ref="R64">INDEX($H$6:$H$68, INT((ROWS(R$6:R64)-1)/5)+1)</f>
        <v>3</v>
      </c>
      <c r="S64" cm="1">
        <f t="array" ref="S64">INDEX($I$6:$I$68, INT((ROWS(S$6:S64)-1)/5)+1)</f>
        <v>1</v>
      </c>
      <c r="T64">
        <v>2</v>
      </c>
      <c r="U64">
        <v>60.08</v>
      </c>
    </row>
    <row r="65" spans="5:21" x14ac:dyDescent="0.25">
      <c r="E65" s="2" t="str">
        <f t="shared" si="0"/>
        <v>FW ID22</v>
      </c>
      <c r="F65">
        <v>20</v>
      </c>
      <c r="G65">
        <v>1</v>
      </c>
      <c r="H65">
        <v>1</v>
      </c>
      <c r="I65">
        <v>3</v>
      </c>
      <c r="J65">
        <v>3</v>
      </c>
      <c r="K65" s="12">
        <f t="shared" ca="1" si="1"/>
        <v>218.47</v>
      </c>
      <c r="N65" s="2" t="str">
        <f t="shared" si="2"/>
        <v>MK ID11</v>
      </c>
      <c r="O65" cm="1">
        <f t="array" ref="O65">INDEX($F$6:$F$68, INT((ROWS(O$6:O65)-1)/5)+1)</f>
        <v>4</v>
      </c>
      <c r="P65" cm="1">
        <f t="array" ref="P65">INDEX($G$6:$G$68, INT((ROWS(P$6:P65)-1)/5)+1)</f>
        <v>1</v>
      </c>
      <c r="Q65">
        <f>MOD(ROWS(Q$6:Q65)-1,5)+1</f>
        <v>5</v>
      </c>
      <c r="R65" cm="1">
        <f t="array" ref="R65">INDEX($H$6:$H$68, INT((ROWS(R$6:R65)-1)/5)+1)</f>
        <v>3</v>
      </c>
      <c r="S65" cm="1">
        <f t="array" ref="S65">INDEX($I$6:$I$68, INT((ROWS(S$6:S65)-1)/5)+1)</f>
        <v>1</v>
      </c>
      <c r="T65">
        <v>3</v>
      </c>
      <c r="U65">
        <v>53.1</v>
      </c>
    </row>
    <row r="66" spans="5:21" x14ac:dyDescent="0.25">
      <c r="E66" s="2">
        <f t="shared" si="0"/>
        <v>0</v>
      </c>
      <c r="F66">
        <v>21</v>
      </c>
      <c r="G66">
        <v>2</v>
      </c>
      <c r="H66">
        <v>3</v>
      </c>
      <c r="I66">
        <v>3</v>
      </c>
      <c r="J66">
        <v>1</v>
      </c>
      <c r="K66" s="12">
        <f t="shared" ca="1" si="1"/>
        <v>0</v>
      </c>
      <c r="N66" s="2" t="str">
        <f t="shared" si="2"/>
        <v>SS ID13</v>
      </c>
      <c r="O66" cm="1">
        <f t="array" ref="O66">INDEX($F$6:$F$68, INT((ROWS(O$6:O66)-1)/5)+1)</f>
        <v>5</v>
      </c>
      <c r="P66" cm="1">
        <f t="array" ref="P66">INDEX($G$6:$G$68, INT((ROWS(P$6:P66)-1)/5)+1)</f>
        <v>3</v>
      </c>
      <c r="Q66">
        <f>MOD(ROWS(Q$6:Q66)-1,5)+1</f>
        <v>1</v>
      </c>
      <c r="R66" cm="1">
        <f t="array" ref="R66">INDEX($H$6:$H$68, INT((ROWS(R$6:R66)-1)/5)+1)</f>
        <v>2</v>
      </c>
      <c r="S66" cm="1">
        <f t="array" ref="S66">INDEX($I$6:$I$68, INT((ROWS(S$6:S66)-1)/5)+1)</f>
        <v>1</v>
      </c>
      <c r="T66">
        <v>1</v>
      </c>
      <c r="U66" s="12">
        <v>100.25</v>
      </c>
    </row>
    <row r="67" spans="5:21" x14ac:dyDescent="0.25">
      <c r="E67" s="2">
        <f t="shared" si="0"/>
        <v>0</v>
      </c>
      <c r="F67">
        <v>21</v>
      </c>
      <c r="G67">
        <v>3</v>
      </c>
      <c r="H67">
        <v>1</v>
      </c>
      <c r="I67">
        <v>3</v>
      </c>
      <c r="J67">
        <v>2</v>
      </c>
      <c r="K67" s="12">
        <f t="shared" ca="1" si="1"/>
        <v>0</v>
      </c>
      <c r="N67" s="2" t="str">
        <f t="shared" si="2"/>
        <v>SS ID13</v>
      </c>
      <c r="O67" cm="1">
        <f t="array" ref="O67">INDEX($F$6:$F$68, INT((ROWS(O$6:O67)-1)/5)+1)</f>
        <v>5</v>
      </c>
      <c r="P67" cm="1">
        <f t="array" ref="P67">INDEX($G$6:$G$68, INT((ROWS(P$6:P67)-1)/5)+1)</f>
        <v>3</v>
      </c>
      <c r="Q67">
        <f>MOD(ROWS(Q$6:Q67)-1,5)+1</f>
        <v>2</v>
      </c>
      <c r="R67" cm="1">
        <f t="array" ref="R67">INDEX($H$6:$H$68, INT((ROWS(R$6:R67)-1)/5)+1)</f>
        <v>2</v>
      </c>
      <c r="S67" cm="1">
        <f t="array" ref="S67">INDEX($I$6:$I$68, INT((ROWS(S$6:S67)-1)/5)+1)</f>
        <v>1</v>
      </c>
      <c r="T67">
        <v>2</v>
      </c>
      <c r="U67" s="12">
        <v>91.99</v>
      </c>
    </row>
    <row r="68" spans="5:21" x14ac:dyDescent="0.25">
      <c r="E68" s="4">
        <f t="shared" si="0"/>
        <v>0</v>
      </c>
      <c r="F68" s="5">
        <v>21</v>
      </c>
      <c r="G68" s="5">
        <v>1</v>
      </c>
      <c r="H68" s="5">
        <v>2</v>
      </c>
      <c r="I68" s="5">
        <v>3</v>
      </c>
      <c r="J68" s="5">
        <v>3</v>
      </c>
      <c r="K68" s="12">
        <f t="shared" ca="1" si="1"/>
        <v>0</v>
      </c>
      <c r="N68" s="2" t="str">
        <f t="shared" si="2"/>
        <v>SS ID13</v>
      </c>
      <c r="O68" cm="1">
        <f t="array" ref="O68">INDEX($F$6:$F$68, INT((ROWS(O$6:O68)-1)/5)+1)</f>
        <v>5</v>
      </c>
      <c r="P68" cm="1">
        <f t="array" ref="P68">INDEX($G$6:$G$68, INT((ROWS(P$6:P68)-1)/5)+1)</f>
        <v>3</v>
      </c>
      <c r="Q68">
        <f>MOD(ROWS(Q$6:Q68)-1,5)+1</f>
        <v>3</v>
      </c>
      <c r="R68" cm="1">
        <f t="array" ref="R68">INDEX($H$6:$H$68, INT((ROWS(R$6:R68)-1)/5)+1)</f>
        <v>2</v>
      </c>
      <c r="S68" cm="1">
        <f t="array" ref="S68">INDEX($I$6:$I$68, INT((ROWS(S$6:S68)-1)/5)+1)</f>
        <v>1</v>
      </c>
      <c r="T68" s="5">
        <v>3</v>
      </c>
      <c r="U68" s="12">
        <v>83.75</v>
      </c>
    </row>
    <row r="69" spans="5:21" x14ac:dyDescent="0.25">
      <c r="N69" s="2" t="str">
        <f t="shared" si="2"/>
        <v>SS ID13</v>
      </c>
      <c r="O69" cm="1">
        <f t="array" ref="O69">INDEX($F$6:$F$68, INT((ROWS(O$6:O69)-1)/5)+1)</f>
        <v>5</v>
      </c>
      <c r="P69" cm="1">
        <f t="array" ref="P69">INDEX($G$6:$G$68, INT((ROWS(P$6:P69)-1)/5)+1)</f>
        <v>3</v>
      </c>
      <c r="Q69">
        <f>MOD(ROWS(Q$6:Q69)-1,5)+1</f>
        <v>4</v>
      </c>
      <c r="R69" cm="1">
        <f t="array" ref="R69">INDEX($H$6:$H$68, INT((ROWS(R$6:R69)-1)/5)+1)</f>
        <v>2</v>
      </c>
      <c r="S69" cm="1">
        <f t="array" ref="S69">INDEX($I$6:$I$68, INT((ROWS(S$6:S69)-1)/5)+1)</f>
        <v>1</v>
      </c>
      <c r="U69" s="12">
        <v>102.53</v>
      </c>
    </row>
    <row r="70" spans="5:21" x14ac:dyDescent="0.25">
      <c r="N70" s="2" t="str">
        <f t="shared" si="2"/>
        <v>SS ID13</v>
      </c>
      <c r="O70" cm="1">
        <f t="array" ref="O70">INDEX($F$6:$F$68, INT((ROWS(O$6:O70)-1)/5)+1)</f>
        <v>5</v>
      </c>
      <c r="P70" cm="1">
        <f t="array" ref="P70">INDEX($G$6:$G$68, INT((ROWS(P$6:P70)-1)/5)+1)</f>
        <v>3</v>
      </c>
      <c r="Q70">
        <f>MOD(ROWS(Q$6:Q70)-1,5)+1</f>
        <v>5</v>
      </c>
      <c r="R70" cm="1">
        <f t="array" ref="R70">INDEX($H$6:$H$68, INT((ROWS(R$6:R70)-1)/5)+1)</f>
        <v>2</v>
      </c>
      <c r="S70" cm="1">
        <f t="array" ref="S70">INDEX($I$6:$I$68, INT((ROWS(S$6:S70)-1)/5)+1)</f>
        <v>1</v>
      </c>
      <c r="U70" s="12">
        <v>108.59</v>
      </c>
    </row>
    <row r="71" spans="5:21" x14ac:dyDescent="0.25">
      <c r="N71" s="2" t="str">
        <f t="shared" ref="N71:N134" si="3">INDEX($B$6:$B$26, MATCH(O71, $A$6:$A$26, 0))</f>
        <v>SS ID13</v>
      </c>
      <c r="O71" cm="1">
        <f t="array" ref="O71">INDEX($F$6:$F$68, INT((ROWS(O$6:O71)-1)/5)+1)</f>
        <v>5</v>
      </c>
      <c r="P71" cm="1">
        <f t="array" ref="P71">INDEX($G$6:$G$68, INT((ROWS(P$6:P71)-1)/5)+1)</f>
        <v>1</v>
      </c>
      <c r="Q71">
        <f>MOD(ROWS(Q$6:Q71)-1,5)+1</f>
        <v>1</v>
      </c>
      <c r="R71" cm="1">
        <f t="array" ref="R71">INDEX($H$6:$H$68, INT((ROWS(R$6:R71)-1)/5)+1)</f>
        <v>3</v>
      </c>
      <c r="S71" cm="1">
        <f t="array" ref="S71">INDEX($I$6:$I$68, INT((ROWS(S$6:S71)-1)/5)+1)</f>
        <v>1</v>
      </c>
      <c r="U71" s="12">
        <v>76.209999999999994</v>
      </c>
    </row>
    <row r="72" spans="5:21" x14ac:dyDescent="0.25">
      <c r="N72" s="2" t="str">
        <f t="shared" si="3"/>
        <v>SS ID13</v>
      </c>
      <c r="O72" cm="1">
        <f t="array" ref="O72">INDEX($F$6:$F$68, INT((ROWS(O$6:O72)-1)/5)+1)</f>
        <v>5</v>
      </c>
      <c r="P72" cm="1">
        <f t="array" ref="P72">INDEX($G$6:$G$68, INT((ROWS(P$6:P72)-1)/5)+1)</f>
        <v>1</v>
      </c>
      <c r="Q72">
        <f>MOD(ROWS(Q$6:Q72)-1,5)+1</f>
        <v>2</v>
      </c>
      <c r="R72" cm="1">
        <f t="array" ref="R72">INDEX($H$6:$H$68, INT((ROWS(R$6:R72)-1)/5)+1)</f>
        <v>3</v>
      </c>
      <c r="S72" cm="1">
        <f t="array" ref="S72">INDEX($I$6:$I$68, INT((ROWS(S$6:S72)-1)/5)+1)</f>
        <v>1</v>
      </c>
      <c r="U72" s="12">
        <v>61.1</v>
      </c>
    </row>
    <row r="73" spans="5:21" x14ac:dyDescent="0.25">
      <c r="N73" s="2" t="str">
        <f t="shared" si="3"/>
        <v>SS ID13</v>
      </c>
      <c r="O73" cm="1">
        <f t="array" ref="O73">INDEX($F$6:$F$68, INT((ROWS(O$6:O73)-1)/5)+1)</f>
        <v>5</v>
      </c>
      <c r="P73" cm="1">
        <f t="array" ref="P73">INDEX($G$6:$G$68, INT((ROWS(P$6:P73)-1)/5)+1)</f>
        <v>1</v>
      </c>
      <c r="Q73">
        <f>MOD(ROWS(Q$6:Q73)-1,5)+1</f>
        <v>3</v>
      </c>
      <c r="R73" cm="1">
        <f t="array" ref="R73">INDEX($H$6:$H$68, INT((ROWS(R$6:R73)-1)/5)+1)</f>
        <v>3</v>
      </c>
      <c r="S73" cm="1">
        <f t="array" ref="S73">INDEX($I$6:$I$68, INT((ROWS(S$6:S73)-1)/5)+1)</f>
        <v>1</v>
      </c>
      <c r="U73" s="12">
        <v>59.02</v>
      </c>
    </row>
    <row r="74" spans="5:21" x14ac:dyDescent="0.25">
      <c r="N74" s="2" t="str">
        <f t="shared" si="3"/>
        <v>SS ID13</v>
      </c>
      <c r="O74" cm="1">
        <f t="array" ref="O74">INDEX($F$6:$F$68, INT((ROWS(O$6:O74)-1)/5)+1)</f>
        <v>5</v>
      </c>
      <c r="P74" cm="1">
        <f t="array" ref="P74">INDEX($G$6:$G$68, INT((ROWS(P$6:P74)-1)/5)+1)</f>
        <v>1</v>
      </c>
      <c r="Q74">
        <f>MOD(ROWS(Q$6:Q74)-1,5)+1</f>
        <v>4</v>
      </c>
      <c r="R74" cm="1">
        <f t="array" ref="R74">INDEX($H$6:$H$68, INT((ROWS(R$6:R74)-1)/5)+1)</f>
        <v>3</v>
      </c>
      <c r="S74" cm="1">
        <f t="array" ref="S74">INDEX($I$6:$I$68, INT((ROWS(S$6:S74)-1)/5)+1)</f>
        <v>1</v>
      </c>
      <c r="U74" s="12">
        <v>79.069999999999993</v>
      </c>
    </row>
    <row r="75" spans="5:21" x14ac:dyDescent="0.25">
      <c r="N75" s="2" t="str">
        <f t="shared" si="3"/>
        <v>SS ID13</v>
      </c>
      <c r="O75" cm="1">
        <f t="array" ref="O75">INDEX($F$6:$F$68, INT((ROWS(O$6:O75)-1)/5)+1)</f>
        <v>5</v>
      </c>
      <c r="P75" cm="1">
        <f t="array" ref="P75">INDEX($G$6:$G$68, INT((ROWS(P$6:P75)-1)/5)+1)</f>
        <v>1</v>
      </c>
      <c r="Q75">
        <f>MOD(ROWS(Q$6:Q75)-1,5)+1</f>
        <v>5</v>
      </c>
      <c r="R75" cm="1">
        <f t="array" ref="R75">INDEX($H$6:$H$68, INT((ROWS(R$6:R75)-1)/5)+1)</f>
        <v>3</v>
      </c>
      <c r="S75" cm="1">
        <f t="array" ref="S75">INDEX($I$6:$I$68, INT((ROWS(S$6:S75)-1)/5)+1)</f>
        <v>1</v>
      </c>
      <c r="U75" s="12">
        <v>56.8</v>
      </c>
    </row>
    <row r="76" spans="5:21" x14ac:dyDescent="0.25">
      <c r="N76" s="2" t="str">
        <f t="shared" si="3"/>
        <v>SS ID13</v>
      </c>
      <c r="O76" cm="1">
        <f t="array" ref="O76">INDEX($F$6:$F$68, INT((ROWS(O$6:O76)-1)/5)+1)</f>
        <v>5</v>
      </c>
      <c r="P76" cm="1">
        <f t="array" ref="P76">INDEX($G$6:$G$68, INT((ROWS(P$6:P76)-1)/5)+1)</f>
        <v>2</v>
      </c>
      <c r="Q76">
        <f>MOD(ROWS(Q$6:Q76)-1,5)+1</f>
        <v>1</v>
      </c>
      <c r="R76" cm="1">
        <f t="array" ref="R76">INDEX($H$6:$H$68, INT((ROWS(R$6:R76)-1)/5)+1)</f>
        <v>1</v>
      </c>
      <c r="S76" cm="1">
        <f t="array" ref="S76">INDEX($I$6:$I$68, INT((ROWS(S$6:S76)-1)/5)+1)</f>
        <v>1</v>
      </c>
      <c r="U76" s="12">
        <v>81.099999999999994</v>
      </c>
    </row>
    <row r="77" spans="5:21" x14ac:dyDescent="0.25">
      <c r="N77" s="2" t="str">
        <f t="shared" si="3"/>
        <v>SS ID13</v>
      </c>
      <c r="O77" cm="1">
        <f t="array" ref="O77">INDEX($F$6:$F$68, INT((ROWS(O$6:O77)-1)/5)+1)</f>
        <v>5</v>
      </c>
      <c r="P77" cm="1">
        <f t="array" ref="P77">INDEX($G$6:$G$68, INT((ROWS(P$6:P77)-1)/5)+1)</f>
        <v>2</v>
      </c>
      <c r="Q77">
        <f>MOD(ROWS(Q$6:Q77)-1,5)+1</f>
        <v>2</v>
      </c>
      <c r="R77" cm="1">
        <f t="array" ref="R77">INDEX($H$6:$H$68, INT((ROWS(R$6:R77)-1)/5)+1)</f>
        <v>1</v>
      </c>
      <c r="S77" cm="1">
        <f t="array" ref="S77">INDEX($I$6:$I$68, INT((ROWS(S$6:S77)-1)/5)+1)</f>
        <v>1</v>
      </c>
      <c r="U77" s="12">
        <v>79.55</v>
      </c>
    </row>
    <row r="78" spans="5:21" x14ac:dyDescent="0.25">
      <c r="N78" s="2" t="str">
        <f t="shared" si="3"/>
        <v>SS ID13</v>
      </c>
      <c r="O78" cm="1">
        <f t="array" ref="O78">INDEX($F$6:$F$68, INT((ROWS(O$6:O78)-1)/5)+1)</f>
        <v>5</v>
      </c>
      <c r="P78" cm="1">
        <f t="array" ref="P78">INDEX($G$6:$G$68, INT((ROWS(P$6:P78)-1)/5)+1)</f>
        <v>2</v>
      </c>
      <c r="Q78">
        <f>MOD(ROWS(Q$6:Q78)-1,5)+1</f>
        <v>3</v>
      </c>
      <c r="R78" cm="1">
        <f t="array" ref="R78">INDEX($H$6:$H$68, INT((ROWS(R$6:R78)-1)/5)+1)</f>
        <v>1</v>
      </c>
      <c r="S78" cm="1">
        <f t="array" ref="S78">INDEX($I$6:$I$68, INT((ROWS(S$6:S78)-1)/5)+1)</f>
        <v>1</v>
      </c>
      <c r="U78" s="12">
        <v>75.52</v>
      </c>
    </row>
    <row r="79" spans="5:21" x14ac:dyDescent="0.25">
      <c r="N79" s="2" t="str">
        <f t="shared" si="3"/>
        <v>SS ID13</v>
      </c>
      <c r="O79" cm="1">
        <f t="array" ref="O79">INDEX($F$6:$F$68, INT((ROWS(O$6:O79)-1)/5)+1)</f>
        <v>5</v>
      </c>
      <c r="P79" cm="1">
        <f t="array" ref="P79">INDEX($G$6:$G$68, INT((ROWS(P$6:P79)-1)/5)+1)</f>
        <v>2</v>
      </c>
      <c r="Q79">
        <f>MOD(ROWS(Q$6:Q79)-1,5)+1</f>
        <v>4</v>
      </c>
      <c r="R79" cm="1">
        <f t="array" ref="R79">INDEX($H$6:$H$68, INT((ROWS(R$6:R79)-1)/5)+1)</f>
        <v>1</v>
      </c>
      <c r="S79" cm="1">
        <f t="array" ref="S79">INDEX($I$6:$I$68, INT((ROWS(S$6:S79)-1)/5)+1)</f>
        <v>1</v>
      </c>
      <c r="U79" s="12">
        <v>74.760000000000005</v>
      </c>
    </row>
    <row r="80" spans="5:21" x14ac:dyDescent="0.25">
      <c r="N80" s="2" t="str">
        <f t="shared" si="3"/>
        <v>SS ID13</v>
      </c>
      <c r="O80" cm="1">
        <f t="array" ref="O80">INDEX($F$6:$F$68, INT((ROWS(O$6:O80)-1)/5)+1)</f>
        <v>5</v>
      </c>
      <c r="P80" cm="1">
        <f t="array" ref="P80">INDEX($G$6:$G$68, INT((ROWS(P$6:P80)-1)/5)+1)</f>
        <v>2</v>
      </c>
      <c r="Q80">
        <f>MOD(ROWS(Q$6:Q80)-1,5)+1</f>
        <v>5</v>
      </c>
      <c r="R80" cm="1">
        <f t="array" ref="R80">INDEX($H$6:$H$68, INT((ROWS(R$6:R80)-1)/5)+1)</f>
        <v>1</v>
      </c>
      <c r="S80" cm="1">
        <f t="array" ref="S80">INDEX($I$6:$I$68, INT((ROWS(S$6:S80)-1)/5)+1)</f>
        <v>1</v>
      </c>
      <c r="U80" s="12">
        <v>81.650000000000006</v>
      </c>
    </row>
    <row r="81" spans="14:24" x14ac:dyDescent="0.25">
      <c r="N81" s="2" t="str">
        <f t="shared" si="3"/>
        <v>LM ID21</v>
      </c>
      <c r="O81" cm="1">
        <f t="array" ref="O81">INDEX($F$6:$F$68, INT((ROWS(O$6:O81)-1)/5)+1)</f>
        <v>6</v>
      </c>
      <c r="P81" cm="1">
        <f t="array" ref="P81">INDEX($G$6:$G$68, INT((ROWS(P$6:P81)-1)/5)+1)</f>
        <v>1</v>
      </c>
      <c r="Q81">
        <f>MOD(ROWS(Q$6:Q81)-1,5)+1</f>
        <v>1</v>
      </c>
      <c r="R81" cm="1">
        <f t="array" ref="R81">INDEX($H$6:$H$68, INT((ROWS(R$6:R81)-1)/5)+1)</f>
        <v>3</v>
      </c>
      <c r="S81" cm="1">
        <f t="array" ref="S81">INDEX($I$6:$I$68, INT((ROWS(S$6:S81)-1)/5)+1)</f>
        <v>1</v>
      </c>
      <c r="U81" s="12">
        <v>69.36</v>
      </c>
    </row>
    <row r="82" spans="14:24" x14ac:dyDescent="0.25">
      <c r="N82" s="2" t="str">
        <f t="shared" si="3"/>
        <v>LM ID21</v>
      </c>
      <c r="O82" cm="1">
        <f t="array" ref="O82">INDEX($F$6:$F$68, INT((ROWS(O$6:O82)-1)/5)+1)</f>
        <v>6</v>
      </c>
      <c r="P82" cm="1">
        <f t="array" ref="P82">INDEX($G$6:$G$68, INT((ROWS(P$6:P82)-1)/5)+1)</f>
        <v>1</v>
      </c>
      <c r="Q82">
        <f>MOD(ROWS(Q$6:Q82)-1,5)+1</f>
        <v>2</v>
      </c>
      <c r="R82" cm="1">
        <f t="array" ref="R82">INDEX($H$6:$H$68, INT((ROWS(R$6:R82)-1)/5)+1)</f>
        <v>3</v>
      </c>
      <c r="S82" cm="1">
        <f t="array" ref="S82">INDEX($I$6:$I$68, INT((ROWS(S$6:S82)-1)/5)+1)</f>
        <v>1</v>
      </c>
      <c r="U82" s="12">
        <v>55.63</v>
      </c>
    </row>
    <row r="83" spans="14:24" x14ac:dyDescent="0.25">
      <c r="N83" s="2" t="str">
        <f t="shared" si="3"/>
        <v>LM ID21</v>
      </c>
      <c r="O83" cm="1">
        <f t="array" ref="O83">INDEX($F$6:$F$68, INT((ROWS(O$6:O83)-1)/5)+1)</f>
        <v>6</v>
      </c>
      <c r="P83" cm="1">
        <f t="array" ref="P83">INDEX($G$6:$G$68, INT((ROWS(P$6:P83)-1)/5)+1)</f>
        <v>1</v>
      </c>
      <c r="Q83">
        <f>MOD(ROWS(Q$6:Q83)-1,5)+1</f>
        <v>3</v>
      </c>
      <c r="R83" cm="1">
        <f t="array" ref="R83">INDEX($H$6:$H$68, INT((ROWS(R$6:R83)-1)/5)+1)</f>
        <v>3</v>
      </c>
      <c r="S83" cm="1">
        <f t="array" ref="S83">INDEX($I$6:$I$68, INT((ROWS(S$6:S83)-1)/5)+1)</f>
        <v>1</v>
      </c>
      <c r="U83" s="12">
        <v>64.569999999999993</v>
      </c>
    </row>
    <row r="84" spans="14:24" x14ac:dyDescent="0.25">
      <c r="N84" s="2" t="str">
        <f t="shared" si="3"/>
        <v>LM ID21</v>
      </c>
      <c r="O84" cm="1">
        <f t="array" ref="O84">INDEX($F$6:$F$68, INT((ROWS(O$6:O84)-1)/5)+1)</f>
        <v>6</v>
      </c>
      <c r="P84" cm="1">
        <f t="array" ref="P84">INDEX($G$6:$G$68, INT((ROWS(P$6:P84)-1)/5)+1)</f>
        <v>1</v>
      </c>
      <c r="Q84">
        <f>MOD(ROWS(Q$6:Q84)-1,5)+1</f>
        <v>4</v>
      </c>
      <c r="R84" cm="1">
        <f t="array" ref="R84">INDEX($H$6:$H$68, INT((ROWS(R$6:R84)-1)/5)+1)</f>
        <v>3</v>
      </c>
      <c r="S84" cm="1">
        <f t="array" ref="S84">INDEX($I$6:$I$68, INT((ROWS(S$6:S84)-1)/5)+1)</f>
        <v>1</v>
      </c>
      <c r="U84" s="12">
        <v>51.03</v>
      </c>
    </row>
    <row r="85" spans="14:24" x14ac:dyDescent="0.25">
      <c r="N85" s="2" t="str">
        <f t="shared" si="3"/>
        <v>LM ID21</v>
      </c>
      <c r="O85" cm="1">
        <f t="array" ref="O85">INDEX($F$6:$F$68, INT((ROWS(O$6:O85)-1)/5)+1)</f>
        <v>6</v>
      </c>
      <c r="P85" cm="1">
        <f t="array" ref="P85">INDEX($G$6:$G$68, INT((ROWS(P$6:P85)-1)/5)+1)</f>
        <v>1</v>
      </c>
      <c r="Q85">
        <f>MOD(ROWS(Q$6:Q85)-1,5)+1</f>
        <v>5</v>
      </c>
      <c r="R85" cm="1">
        <f t="array" ref="R85">INDEX($H$6:$H$68, INT((ROWS(R$6:R85)-1)/5)+1)</f>
        <v>3</v>
      </c>
      <c r="S85" cm="1">
        <f t="array" ref="S85">INDEX($I$6:$I$68, INT((ROWS(S$6:S85)-1)/5)+1)</f>
        <v>1</v>
      </c>
      <c r="U85" s="12">
        <v>55.76</v>
      </c>
    </row>
    <row r="86" spans="14:24" x14ac:dyDescent="0.25">
      <c r="N86" s="2" t="str">
        <f t="shared" si="3"/>
        <v>LM ID21</v>
      </c>
      <c r="O86" cm="1">
        <f t="array" ref="O86">INDEX($F$6:$F$68, INT((ROWS(O$6:O86)-1)/5)+1)</f>
        <v>6</v>
      </c>
      <c r="P86" cm="1">
        <f t="array" ref="P86">INDEX($G$6:$G$68, INT((ROWS(P$6:P86)-1)/5)+1)</f>
        <v>2</v>
      </c>
      <c r="Q86">
        <f>MOD(ROWS(Q$6:Q86)-1,5)+1</f>
        <v>1</v>
      </c>
      <c r="R86" cm="1">
        <f t="array" ref="R86">INDEX($H$6:$H$68, INT((ROWS(R$6:R86)-1)/5)+1)</f>
        <v>1</v>
      </c>
      <c r="S86" cm="1">
        <f t="array" ref="S86">INDEX($I$6:$I$68, INT((ROWS(S$6:S86)-1)/5)+1)</f>
        <v>1</v>
      </c>
      <c r="U86" s="12">
        <v>85</v>
      </c>
      <c r="W86" s="1"/>
    </row>
    <row r="87" spans="14:24" x14ac:dyDescent="0.25">
      <c r="N87" s="2" t="str">
        <f t="shared" si="3"/>
        <v>LM ID21</v>
      </c>
      <c r="O87" cm="1">
        <f t="array" ref="O87">INDEX($F$6:$F$68, INT((ROWS(O$6:O87)-1)/5)+1)</f>
        <v>6</v>
      </c>
      <c r="P87" cm="1">
        <f t="array" ref="P87">INDEX($G$6:$G$68, INT((ROWS(P$6:P87)-1)/5)+1)</f>
        <v>2</v>
      </c>
      <c r="Q87">
        <f>MOD(ROWS(Q$6:Q87)-1,5)+1</f>
        <v>2</v>
      </c>
      <c r="R87" cm="1">
        <f t="array" ref="R87">INDEX($H$6:$H$68, INT((ROWS(R$6:R87)-1)/5)+1)</f>
        <v>1</v>
      </c>
      <c r="S87" cm="1">
        <f t="array" ref="S87">INDEX($I$6:$I$68, INT((ROWS(S$6:S87)-1)/5)+1)</f>
        <v>1</v>
      </c>
      <c r="U87" s="12">
        <v>94.19</v>
      </c>
      <c r="W87" s="1"/>
    </row>
    <row r="88" spans="14:24" x14ac:dyDescent="0.25">
      <c r="N88" s="2" t="str">
        <f t="shared" si="3"/>
        <v>LM ID21</v>
      </c>
      <c r="O88" cm="1">
        <f t="array" ref="O88">INDEX($F$6:$F$68, INT((ROWS(O$6:O88)-1)/5)+1)</f>
        <v>6</v>
      </c>
      <c r="P88" cm="1">
        <f t="array" ref="P88">INDEX($G$6:$G$68, INT((ROWS(P$6:P88)-1)/5)+1)</f>
        <v>2</v>
      </c>
      <c r="Q88">
        <f>MOD(ROWS(Q$6:Q88)-1,5)+1</f>
        <v>3</v>
      </c>
      <c r="R88" cm="1">
        <f t="array" ref="R88">INDEX($H$6:$H$68, INT((ROWS(R$6:R88)-1)/5)+1)</f>
        <v>1</v>
      </c>
      <c r="S88" cm="1">
        <f t="array" ref="S88">INDEX($I$6:$I$68, INT((ROWS(S$6:S88)-1)/5)+1)</f>
        <v>1</v>
      </c>
      <c r="U88" s="12">
        <f>6+60+18</f>
        <v>84</v>
      </c>
      <c r="X88" s="16"/>
    </row>
    <row r="89" spans="14:24" x14ac:dyDescent="0.25">
      <c r="N89" s="2" t="str">
        <f t="shared" si="3"/>
        <v>LM ID21</v>
      </c>
      <c r="O89" cm="1">
        <f t="array" ref="O89">INDEX($F$6:$F$68, INT((ROWS(O$6:O89)-1)/5)+1)</f>
        <v>6</v>
      </c>
      <c r="P89" cm="1">
        <f t="array" ref="P89">INDEX($G$6:$G$68, INT((ROWS(P$6:P89)-1)/5)+1)</f>
        <v>2</v>
      </c>
      <c r="Q89">
        <f>MOD(ROWS(Q$6:Q89)-1,5)+1</f>
        <v>4</v>
      </c>
      <c r="R89" cm="1">
        <f t="array" ref="R89">INDEX($H$6:$H$68, INT((ROWS(R$6:R89)-1)/5)+1)</f>
        <v>1</v>
      </c>
      <c r="S89" cm="1">
        <f t="array" ref="S89">INDEX($I$6:$I$68, INT((ROWS(S$6:S89)-1)/5)+1)</f>
        <v>1</v>
      </c>
      <c r="U89" s="12">
        <v>92.41</v>
      </c>
    </row>
    <row r="90" spans="14:24" x14ac:dyDescent="0.25">
      <c r="N90" s="2" t="str">
        <f t="shared" si="3"/>
        <v>LM ID21</v>
      </c>
      <c r="O90" cm="1">
        <f t="array" ref="O90">INDEX($F$6:$F$68, INT((ROWS(O$6:O90)-1)/5)+1)</f>
        <v>6</v>
      </c>
      <c r="P90" cm="1">
        <f t="array" ref="P90">INDEX($G$6:$G$68, INT((ROWS(P$6:P90)-1)/5)+1)</f>
        <v>2</v>
      </c>
      <c r="Q90">
        <f>MOD(ROWS(Q$6:Q90)-1,5)+1</f>
        <v>5</v>
      </c>
      <c r="R90" cm="1">
        <f t="array" ref="R90">INDEX($H$6:$H$68, INT((ROWS(R$6:R90)-1)/5)+1)</f>
        <v>1</v>
      </c>
      <c r="S90" cm="1">
        <f t="array" ref="S90">INDEX($I$6:$I$68, INT((ROWS(S$6:S90)-1)/5)+1)</f>
        <v>1</v>
      </c>
      <c r="U90" s="12">
        <v>66.19</v>
      </c>
    </row>
    <row r="91" spans="14:24" x14ac:dyDescent="0.25">
      <c r="N91" s="2" t="str">
        <f t="shared" si="3"/>
        <v>LM ID21</v>
      </c>
      <c r="O91" cm="1">
        <f t="array" ref="O91">INDEX($F$6:$F$68, INT((ROWS(O$6:O91)-1)/5)+1)</f>
        <v>6</v>
      </c>
      <c r="P91" cm="1">
        <f t="array" ref="P91">INDEX($G$6:$G$68, INT((ROWS(P$6:P91)-1)/5)+1)</f>
        <v>3</v>
      </c>
      <c r="Q91">
        <f>MOD(ROWS(Q$6:Q91)-1,5)+1</f>
        <v>1</v>
      </c>
      <c r="R91" cm="1">
        <f t="array" ref="R91">INDEX($H$6:$H$68, INT((ROWS(R$6:R91)-1)/5)+1)</f>
        <v>2</v>
      </c>
      <c r="S91" cm="1">
        <f t="array" ref="S91">INDEX($I$6:$I$68, INT((ROWS(S$6:S91)-1)/5)+1)</f>
        <v>1</v>
      </c>
      <c r="U91">
        <v>74.36</v>
      </c>
      <c r="X91" s="16"/>
    </row>
    <row r="92" spans="14:24" x14ac:dyDescent="0.25">
      <c r="N92" s="2" t="str">
        <f t="shared" si="3"/>
        <v>LM ID21</v>
      </c>
      <c r="O92" cm="1">
        <f t="array" ref="O92">INDEX($F$6:$F$68, INT((ROWS(O$6:O92)-1)/5)+1)</f>
        <v>6</v>
      </c>
      <c r="P92" cm="1">
        <f t="array" ref="P92">INDEX($G$6:$G$68, INT((ROWS(P$6:P92)-1)/5)+1)</f>
        <v>3</v>
      </c>
      <c r="Q92">
        <f>MOD(ROWS(Q$6:Q92)-1,5)+1</f>
        <v>2</v>
      </c>
      <c r="R92" cm="1">
        <f t="array" ref="R92">INDEX($H$6:$H$68, INT((ROWS(R$6:R92)-1)/5)+1)</f>
        <v>2</v>
      </c>
      <c r="S92" cm="1">
        <f t="array" ref="S92">INDEX($I$6:$I$68, INT((ROWS(S$6:S92)-1)/5)+1)</f>
        <v>1</v>
      </c>
      <c r="U92">
        <v>93</v>
      </c>
    </row>
    <row r="93" spans="14:24" x14ac:dyDescent="0.25">
      <c r="N93" s="2" t="str">
        <f t="shared" si="3"/>
        <v>LM ID21</v>
      </c>
      <c r="O93" cm="1">
        <f t="array" ref="O93">INDEX($F$6:$F$68, INT((ROWS(O$6:O93)-1)/5)+1)</f>
        <v>6</v>
      </c>
      <c r="P93" cm="1">
        <f t="array" ref="P93">INDEX($G$6:$G$68, INT((ROWS(P$6:P93)-1)/5)+1)</f>
        <v>3</v>
      </c>
      <c r="Q93">
        <f>MOD(ROWS(Q$6:Q93)-1,5)+1</f>
        <v>3</v>
      </c>
      <c r="R93" cm="1">
        <f t="array" ref="R93">INDEX($H$6:$H$68, INT((ROWS(R$6:R93)-1)/5)+1)</f>
        <v>2</v>
      </c>
      <c r="S93" cm="1">
        <f t="array" ref="S93">INDEX($I$6:$I$68, INT((ROWS(S$6:S93)-1)/5)+1)</f>
        <v>1</v>
      </c>
      <c r="U93" s="12">
        <v>87.63</v>
      </c>
    </row>
    <row r="94" spans="14:24" x14ac:dyDescent="0.25">
      <c r="N94" s="2" t="str">
        <f t="shared" si="3"/>
        <v>LM ID21</v>
      </c>
      <c r="O94" cm="1">
        <f t="array" ref="O94">INDEX($F$6:$F$68, INT((ROWS(O$6:O94)-1)/5)+1)</f>
        <v>6</v>
      </c>
      <c r="P94" cm="1">
        <f t="array" ref="P94">INDEX($G$6:$G$68, INT((ROWS(P$6:P94)-1)/5)+1)</f>
        <v>3</v>
      </c>
      <c r="Q94">
        <f>MOD(ROWS(Q$6:Q94)-1,5)+1</f>
        <v>4</v>
      </c>
      <c r="R94" cm="1">
        <f t="array" ref="R94">INDEX($H$6:$H$68, INT((ROWS(R$6:R94)-1)/5)+1)</f>
        <v>2</v>
      </c>
      <c r="S94" cm="1">
        <f t="array" ref="S94">INDEX($I$6:$I$68, INT((ROWS(S$6:S94)-1)/5)+1)</f>
        <v>1</v>
      </c>
      <c r="U94" s="12">
        <v>92.89</v>
      </c>
    </row>
    <row r="95" spans="14:24" x14ac:dyDescent="0.25">
      <c r="N95" s="2" t="str">
        <f t="shared" si="3"/>
        <v>LM ID21</v>
      </c>
      <c r="O95" cm="1">
        <f t="array" ref="O95">INDEX($F$6:$F$68, INT((ROWS(O$6:O95)-1)/5)+1)</f>
        <v>6</v>
      </c>
      <c r="P95" cm="1">
        <f t="array" ref="P95">INDEX($G$6:$G$68, INT((ROWS(P$6:P95)-1)/5)+1)</f>
        <v>3</v>
      </c>
      <c r="Q95">
        <f>MOD(ROWS(Q$6:Q95)-1,5)+1</f>
        <v>5</v>
      </c>
      <c r="R95" cm="1">
        <f t="array" ref="R95">INDEX($H$6:$H$68, INT((ROWS(R$6:R95)-1)/5)+1)</f>
        <v>2</v>
      </c>
      <c r="S95" cm="1">
        <f t="array" ref="S95">INDEX($I$6:$I$68, INT((ROWS(S$6:S95)-1)/5)+1)</f>
        <v>1</v>
      </c>
      <c r="U95" s="12">
        <v>73</v>
      </c>
    </row>
    <row r="96" spans="14:24" x14ac:dyDescent="0.25">
      <c r="N96" s="2">
        <f t="shared" si="3"/>
        <v>0</v>
      </c>
      <c r="O96" cm="1">
        <f t="array" ref="O96">INDEX($F$6:$F$68, INT((ROWS(O$6:O96)-1)/5)+1)</f>
        <v>7</v>
      </c>
      <c r="P96" cm="1">
        <f t="array" ref="P96">INDEX($G$6:$G$68, INT((ROWS(P$6:P96)-1)/5)+1)</f>
        <v>3</v>
      </c>
      <c r="Q96">
        <f>MOD(ROWS(Q$6:Q96)-1,5)+1</f>
        <v>1</v>
      </c>
      <c r="R96" cm="1">
        <f t="array" ref="R96">INDEX($H$6:$H$68, INT((ROWS(R$6:R96)-1)/5)+1)</f>
        <v>1</v>
      </c>
      <c r="S96" cm="1">
        <f t="array" ref="S96">INDEX($I$6:$I$68, INT((ROWS(S$6:S96)-1)/5)+1)</f>
        <v>1</v>
      </c>
      <c r="U96" s="12"/>
    </row>
    <row r="97" spans="14:21" x14ac:dyDescent="0.25">
      <c r="N97" s="2">
        <f t="shared" si="3"/>
        <v>0</v>
      </c>
      <c r="O97" cm="1">
        <f t="array" ref="O97">INDEX($F$6:$F$68, INT((ROWS(O$6:O97)-1)/5)+1)</f>
        <v>7</v>
      </c>
      <c r="P97" cm="1">
        <f t="array" ref="P97">INDEX($G$6:$G$68, INT((ROWS(P$6:P97)-1)/5)+1)</f>
        <v>3</v>
      </c>
      <c r="Q97">
        <f>MOD(ROWS(Q$6:Q97)-1,5)+1</f>
        <v>2</v>
      </c>
      <c r="R97" cm="1">
        <f t="array" ref="R97">INDEX($H$6:$H$68, INT((ROWS(R$6:R97)-1)/5)+1)</f>
        <v>1</v>
      </c>
      <c r="S97" cm="1">
        <f t="array" ref="S97">INDEX($I$6:$I$68, INT((ROWS(S$6:S97)-1)/5)+1)</f>
        <v>1</v>
      </c>
      <c r="U97" s="12"/>
    </row>
    <row r="98" spans="14:21" x14ac:dyDescent="0.25">
      <c r="N98" s="2">
        <f t="shared" si="3"/>
        <v>0</v>
      </c>
      <c r="O98" cm="1">
        <f t="array" ref="O98">INDEX($F$6:$F$68, INT((ROWS(O$6:O98)-1)/5)+1)</f>
        <v>7</v>
      </c>
      <c r="P98" cm="1">
        <f t="array" ref="P98">INDEX($G$6:$G$68, INT((ROWS(P$6:P98)-1)/5)+1)</f>
        <v>3</v>
      </c>
      <c r="Q98">
        <f>MOD(ROWS(Q$6:Q98)-1,5)+1</f>
        <v>3</v>
      </c>
      <c r="R98" cm="1">
        <f t="array" ref="R98">INDEX($H$6:$H$68, INT((ROWS(R$6:R98)-1)/5)+1)</f>
        <v>1</v>
      </c>
      <c r="S98" cm="1">
        <f t="array" ref="S98">INDEX($I$6:$I$68, INT((ROWS(S$6:S98)-1)/5)+1)</f>
        <v>1</v>
      </c>
      <c r="U98" s="12"/>
    </row>
    <row r="99" spans="14:21" x14ac:dyDescent="0.25">
      <c r="N99" s="2">
        <f t="shared" si="3"/>
        <v>0</v>
      </c>
      <c r="O99" cm="1">
        <f t="array" ref="O99">INDEX($F$6:$F$68, INT((ROWS(O$6:O99)-1)/5)+1)</f>
        <v>7</v>
      </c>
      <c r="P99" cm="1">
        <f t="array" ref="P99">INDEX($G$6:$G$68, INT((ROWS(P$6:P99)-1)/5)+1)</f>
        <v>3</v>
      </c>
      <c r="Q99">
        <f>MOD(ROWS(Q$6:Q99)-1,5)+1</f>
        <v>4</v>
      </c>
      <c r="R99" cm="1">
        <f t="array" ref="R99">INDEX($H$6:$H$68, INT((ROWS(R$6:R99)-1)/5)+1)</f>
        <v>1</v>
      </c>
      <c r="S99" cm="1">
        <f t="array" ref="S99">INDEX($I$6:$I$68, INT((ROWS(S$6:S99)-1)/5)+1)</f>
        <v>1</v>
      </c>
      <c r="U99" s="12"/>
    </row>
    <row r="100" spans="14:21" x14ac:dyDescent="0.25">
      <c r="N100" s="2">
        <f t="shared" si="3"/>
        <v>0</v>
      </c>
      <c r="O100" cm="1">
        <f t="array" ref="O100">INDEX($F$6:$F$68, INT((ROWS(O$6:O100)-1)/5)+1)</f>
        <v>7</v>
      </c>
      <c r="P100" cm="1">
        <f t="array" ref="P100">INDEX($G$6:$G$68, INT((ROWS(P$6:P100)-1)/5)+1)</f>
        <v>3</v>
      </c>
      <c r="Q100">
        <f>MOD(ROWS(Q$6:Q100)-1,5)+1</f>
        <v>5</v>
      </c>
      <c r="R100" cm="1">
        <f t="array" ref="R100">INDEX($H$6:$H$68, INT((ROWS(R$6:R100)-1)/5)+1)</f>
        <v>1</v>
      </c>
      <c r="S100" cm="1">
        <f t="array" ref="S100">INDEX($I$6:$I$68, INT((ROWS(S$6:S100)-1)/5)+1)</f>
        <v>1</v>
      </c>
      <c r="U100" s="12"/>
    </row>
    <row r="101" spans="14:21" x14ac:dyDescent="0.25">
      <c r="N101" s="2">
        <f t="shared" si="3"/>
        <v>0</v>
      </c>
      <c r="O101" cm="1">
        <f t="array" ref="O101">INDEX($F$6:$F$68, INT((ROWS(O$6:O101)-1)/5)+1)</f>
        <v>7</v>
      </c>
      <c r="P101" cm="1">
        <f t="array" ref="P101">INDEX($G$6:$G$68, INT((ROWS(P$6:P101)-1)/5)+1)</f>
        <v>1</v>
      </c>
      <c r="Q101">
        <f>MOD(ROWS(Q$6:Q101)-1,5)+1</f>
        <v>1</v>
      </c>
      <c r="R101" cm="1">
        <f t="array" ref="R101">INDEX($H$6:$H$68, INT((ROWS(R$6:R101)-1)/5)+1)</f>
        <v>2</v>
      </c>
      <c r="S101" cm="1">
        <f t="array" ref="S101">INDEX($I$6:$I$68, INT((ROWS(S$6:S101)-1)/5)+1)</f>
        <v>1</v>
      </c>
      <c r="U101" s="12"/>
    </row>
    <row r="102" spans="14:21" x14ac:dyDescent="0.25">
      <c r="N102" s="2">
        <f t="shared" si="3"/>
        <v>0</v>
      </c>
      <c r="O102" cm="1">
        <f t="array" ref="O102">INDEX($F$6:$F$68, INT((ROWS(O$6:O102)-1)/5)+1)</f>
        <v>7</v>
      </c>
      <c r="P102" cm="1">
        <f t="array" ref="P102">INDEX($G$6:$G$68, INT((ROWS(P$6:P102)-1)/5)+1)</f>
        <v>1</v>
      </c>
      <c r="Q102">
        <f>MOD(ROWS(Q$6:Q102)-1,5)+1</f>
        <v>2</v>
      </c>
      <c r="R102" cm="1">
        <f t="array" ref="R102">INDEX($H$6:$H$68, INT((ROWS(R$6:R102)-1)/5)+1)</f>
        <v>2</v>
      </c>
      <c r="S102" cm="1">
        <f t="array" ref="S102">INDEX($I$6:$I$68, INT((ROWS(S$6:S102)-1)/5)+1)</f>
        <v>1</v>
      </c>
      <c r="U102" s="12"/>
    </row>
    <row r="103" spans="14:21" x14ac:dyDescent="0.25">
      <c r="N103" s="2">
        <f t="shared" si="3"/>
        <v>0</v>
      </c>
      <c r="O103" cm="1">
        <f t="array" ref="O103">INDEX($F$6:$F$68, INT((ROWS(O$6:O103)-1)/5)+1)</f>
        <v>7</v>
      </c>
      <c r="P103" cm="1">
        <f t="array" ref="P103">INDEX($G$6:$G$68, INT((ROWS(P$6:P103)-1)/5)+1)</f>
        <v>1</v>
      </c>
      <c r="Q103">
        <f>MOD(ROWS(Q$6:Q103)-1,5)+1</f>
        <v>3</v>
      </c>
      <c r="R103" cm="1">
        <f t="array" ref="R103">INDEX($H$6:$H$68, INT((ROWS(R$6:R103)-1)/5)+1)</f>
        <v>2</v>
      </c>
      <c r="S103" cm="1">
        <f t="array" ref="S103">INDEX($I$6:$I$68, INT((ROWS(S$6:S103)-1)/5)+1)</f>
        <v>1</v>
      </c>
      <c r="U103" s="12"/>
    </row>
    <row r="104" spans="14:21" x14ac:dyDescent="0.25">
      <c r="N104" s="2">
        <f t="shared" si="3"/>
        <v>0</v>
      </c>
      <c r="O104" cm="1">
        <f t="array" ref="O104">INDEX($F$6:$F$68, INT((ROWS(O$6:O104)-1)/5)+1)</f>
        <v>7</v>
      </c>
      <c r="P104" cm="1">
        <f t="array" ref="P104">INDEX($G$6:$G$68, INT((ROWS(P$6:P104)-1)/5)+1)</f>
        <v>1</v>
      </c>
      <c r="Q104">
        <f>MOD(ROWS(Q$6:Q104)-1,5)+1</f>
        <v>4</v>
      </c>
      <c r="R104" cm="1">
        <f t="array" ref="R104">INDEX($H$6:$H$68, INT((ROWS(R$6:R104)-1)/5)+1)</f>
        <v>2</v>
      </c>
      <c r="S104" cm="1">
        <f t="array" ref="S104">INDEX($I$6:$I$68, INT((ROWS(S$6:S104)-1)/5)+1)</f>
        <v>1</v>
      </c>
      <c r="U104" s="12"/>
    </row>
    <row r="105" spans="14:21" x14ac:dyDescent="0.25">
      <c r="N105" s="2">
        <f t="shared" si="3"/>
        <v>0</v>
      </c>
      <c r="O105" cm="1">
        <f t="array" ref="O105">INDEX($F$6:$F$68, INT((ROWS(O$6:O105)-1)/5)+1)</f>
        <v>7</v>
      </c>
      <c r="P105" cm="1">
        <f t="array" ref="P105">INDEX($G$6:$G$68, INT((ROWS(P$6:P105)-1)/5)+1)</f>
        <v>1</v>
      </c>
      <c r="Q105">
        <f>MOD(ROWS(Q$6:Q105)-1,5)+1</f>
        <v>5</v>
      </c>
      <c r="R105" cm="1">
        <f t="array" ref="R105">INDEX($H$6:$H$68, INT((ROWS(R$6:R105)-1)/5)+1)</f>
        <v>2</v>
      </c>
      <c r="S105" cm="1">
        <f t="array" ref="S105">INDEX($I$6:$I$68, INT((ROWS(S$6:S105)-1)/5)+1)</f>
        <v>1</v>
      </c>
      <c r="U105" s="12"/>
    </row>
    <row r="106" spans="14:21" x14ac:dyDescent="0.25">
      <c r="N106" s="2">
        <f t="shared" si="3"/>
        <v>0</v>
      </c>
      <c r="O106" cm="1">
        <f t="array" ref="O106">INDEX($F$6:$F$68, INT((ROWS(O$6:O106)-1)/5)+1)</f>
        <v>7</v>
      </c>
      <c r="P106" cm="1">
        <f t="array" ref="P106">INDEX($G$6:$G$68, INT((ROWS(P$6:P106)-1)/5)+1)</f>
        <v>2</v>
      </c>
      <c r="Q106">
        <f>MOD(ROWS(Q$6:Q106)-1,5)+1</f>
        <v>1</v>
      </c>
      <c r="R106" cm="1">
        <f t="array" ref="R106">INDEX($H$6:$H$68, INT((ROWS(R$6:R106)-1)/5)+1)</f>
        <v>3</v>
      </c>
      <c r="S106" cm="1">
        <f t="array" ref="S106">INDEX($I$6:$I$68, INT((ROWS(S$6:S106)-1)/5)+1)</f>
        <v>1</v>
      </c>
      <c r="U106" s="12"/>
    </row>
    <row r="107" spans="14:21" x14ac:dyDescent="0.25">
      <c r="N107" s="2">
        <f t="shared" si="3"/>
        <v>0</v>
      </c>
      <c r="O107" cm="1">
        <f t="array" ref="O107">INDEX($F$6:$F$68, INT((ROWS(O$6:O107)-1)/5)+1)</f>
        <v>7</v>
      </c>
      <c r="P107" cm="1">
        <f t="array" ref="P107">INDEX($G$6:$G$68, INT((ROWS(P$6:P107)-1)/5)+1)</f>
        <v>2</v>
      </c>
      <c r="Q107">
        <f>MOD(ROWS(Q$6:Q107)-1,5)+1</f>
        <v>2</v>
      </c>
      <c r="R107" cm="1">
        <f t="array" ref="R107">INDEX($H$6:$H$68, INT((ROWS(R$6:R107)-1)/5)+1)</f>
        <v>3</v>
      </c>
      <c r="S107" cm="1">
        <f t="array" ref="S107">INDEX($I$6:$I$68, INT((ROWS(S$6:S107)-1)/5)+1)</f>
        <v>1</v>
      </c>
      <c r="U107" s="12"/>
    </row>
    <row r="108" spans="14:21" x14ac:dyDescent="0.25">
      <c r="N108" s="2">
        <f t="shared" si="3"/>
        <v>0</v>
      </c>
      <c r="O108" cm="1">
        <f t="array" ref="O108">INDEX($F$6:$F$68, INT((ROWS(O$6:O108)-1)/5)+1)</f>
        <v>7</v>
      </c>
      <c r="P108" cm="1">
        <f t="array" ref="P108">INDEX($G$6:$G$68, INT((ROWS(P$6:P108)-1)/5)+1)</f>
        <v>2</v>
      </c>
      <c r="Q108">
        <f>MOD(ROWS(Q$6:Q108)-1,5)+1</f>
        <v>3</v>
      </c>
      <c r="R108" cm="1">
        <f t="array" ref="R108">INDEX($H$6:$H$68, INT((ROWS(R$6:R108)-1)/5)+1)</f>
        <v>3</v>
      </c>
      <c r="S108" cm="1">
        <f t="array" ref="S108">INDEX($I$6:$I$68, INT((ROWS(S$6:S108)-1)/5)+1)</f>
        <v>1</v>
      </c>
      <c r="U108" s="12"/>
    </row>
    <row r="109" spans="14:21" x14ac:dyDescent="0.25">
      <c r="N109" s="2">
        <f t="shared" si="3"/>
        <v>0</v>
      </c>
      <c r="O109" cm="1">
        <f t="array" ref="O109">INDEX($F$6:$F$68, INT((ROWS(O$6:O109)-1)/5)+1)</f>
        <v>7</v>
      </c>
      <c r="P109" cm="1">
        <f t="array" ref="P109">INDEX($G$6:$G$68, INT((ROWS(P$6:P109)-1)/5)+1)</f>
        <v>2</v>
      </c>
      <c r="Q109">
        <f>MOD(ROWS(Q$6:Q109)-1,5)+1</f>
        <v>4</v>
      </c>
      <c r="R109" cm="1">
        <f t="array" ref="R109">INDEX($H$6:$H$68, INT((ROWS(R$6:R109)-1)/5)+1)</f>
        <v>3</v>
      </c>
      <c r="S109" cm="1">
        <f t="array" ref="S109">INDEX($I$6:$I$68, INT((ROWS(S$6:S109)-1)/5)+1)</f>
        <v>1</v>
      </c>
      <c r="U109" s="12"/>
    </row>
    <row r="110" spans="14:21" x14ac:dyDescent="0.25">
      <c r="N110" s="2">
        <f t="shared" si="3"/>
        <v>0</v>
      </c>
      <c r="O110" cm="1">
        <f t="array" ref="O110">INDEX($F$6:$F$68, INT((ROWS(O$6:O110)-1)/5)+1)</f>
        <v>7</v>
      </c>
      <c r="P110" cm="1">
        <f t="array" ref="P110">INDEX($G$6:$G$68, INT((ROWS(P$6:P110)-1)/5)+1)</f>
        <v>2</v>
      </c>
      <c r="Q110">
        <f>MOD(ROWS(Q$6:Q110)-1,5)+1</f>
        <v>5</v>
      </c>
      <c r="R110" cm="1">
        <f t="array" ref="R110">INDEX($H$6:$H$68, INT((ROWS(R$6:R110)-1)/5)+1)</f>
        <v>3</v>
      </c>
      <c r="S110" cm="1">
        <f t="array" ref="S110">INDEX($I$6:$I$68, INT((ROWS(S$6:S110)-1)/5)+1)</f>
        <v>1</v>
      </c>
      <c r="U110" s="12"/>
    </row>
    <row r="111" spans="14:21" x14ac:dyDescent="0.25">
      <c r="N111" s="2" t="str">
        <f t="shared" si="3"/>
        <v>LW ID1</v>
      </c>
      <c r="O111" cm="1">
        <f t="array" ref="O111">INDEX($F$6:$F$68, INT((ROWS(O$6:O111)-1)/5)+1)</f>
        <v>8</v>
      </c>
      <c r="P111" cm="1">
        <f t="array" ref="P111">INDEX($G$6:$G$68, INT((ROWS(P$6:P111)-1)/5)+1)</f>
        <v>1</v>
      </c>
      <c r="Q111">
        <f>MOD(ROWS(Q$6:Q111)-1,5)+1</f>
        <v>1</v>
      </c>
      <c r="R111" cm="1">
        <f t="array" ref="R111">INDEX($H$6:$H$68, INT((ROWS(R$6:R111)-1)/5)+1)</f>
        <v>2</v>
      </c>
      <c r="S111" cm="1">
        <f t="array" ref="S111">INDEX($I$6:$I$68, INT((ROWS(S$6:S111)-1)/5)+1)</f>
        <v>2</v>
      </c>
      <c r="U111" s="12">
        <v>58.04</v>
      </c>
    </row>
    <row r="112" spans="14:21" x14ac:dyDescent="0.25">
      <c r="N112" s="2" t="str">
        <f t="shared" si="3"/>
        <v>LW ID1</v>
      </c>
      <c r="O112" cm="1">
        <f t="array" ref="O112">INDEX($F$6:$F$68, INT((ROWS(O$6:O112)-1)/5)+1)</f>
        <v>8</v>
      </c>
      <c r="P112" cm="1">
        <f t="array" ref="P112">INDEX($G$6:$G$68, INT((ROWS(P$6:P112)-1)/5)+1)</f>
        <v>1</v>
      </c>
      <c r="Q112">
        <f>MOD(ROWS(Q$6:Q112)-1,5)+1</f>
        <v>2</v>
      </c>
      <c r="R112" cm="1">
        <f t="array" ref="R112">INDEX($H$6:$H$68, INT((ROWS(R$6:R112)-1)/5)+1)</f>
        <v>2</v>
      </c>
      <c r="S112" cm="1">
        <f t="array" ref="S112">INDEX($I$6:$I$68, INT((ROWS(S$6:S112)-1)/5)+1)</f>
        <v>2</v>
      </c>
      <c r="U112" s="12">
        <v>52.75</v>
      </c>
    </row>
    <row r="113" spans="14:24" x14ac:dyDescent="0.25">
      <c r="N113" s="2" t="str">
        <f t="shared" si="3"/>
        <v>LW ID1</v>
      </c>
      <c r="O113" cm="1">
        <f t="array" ref="O113">INDEX($F$6:$F$68, INT((ROWS(O$6:O113)-1)/5)+1)</f>
        <v>8</v>
      </c>
      <c r="P113" cm="1">
        <f t="array" ref="P113">INDEX($G$6:$G$68, INT((ROWS(P$6:P113)-1)/5)+1)</f>
        <v>1</v>
      </c>
      <c r="Q113">
        <f>MOD(ROWS(Q$6:Q113)-1,5)+1</f>
        <v>3</v>
      </c>
      <c r="R113" cm="1">
        <f t="array" ref="R113">INDEX($H$6:$H$68, INT((ROWS(R$6:R113)-1)/5)+1)</f>
        <v>2</v>
      </c>
      <c r="S113" cm="1">
        <f t="array" ref="S113">INDEX($I$6:$I$68, INT((ROWS(S$6:S113)-1)/5)+1)</f>
        <v>2</v>
      </c>
      <c r="U113" s="12">
        <v>51.5</v>
      </c>
    </row>
    <row r="114" spans="14:24" x14ac:dyDescent="0.25">
      <c r="N114" s="2" t="str">
        <f t="shared" si="3"/>
        <v>LW ID1</v>
      </c>
      <c r="O114" cm="1">
        <f t="array" ref="O114">INDEX($F$6:$F$68, INT((ROWS(O$6:O114)-1)/5)+1)</f>
        <v>8</v>
      </c>
      <c r="P114" cm="1">
        <f t="array" ref="P114">INDEX($G$6:$G$68, INT((ROWS(P$6:P114)-1)/5)+1)</f>
        <v>1</v>
      </c>
      <c r="Q114">
        <f>MOD(ROWS(Q$6:Q114)-1,5)+1</f>
        <v>4</v>
      </c>
      <c r="R114" cm="1">
        <f t="array" ref="R114">INDEX($H$6:$H$68, INT((ROWS(R$6:R114)-1)/5)+1)</f>
        <v>2</v>
      </c>
      <c r="S114" cm="1">
        <f t="array" ref="S114">INDEX($I$6:$I$68, INT((ROWS(S$6:S114)-1)/5)+1)</f>
        <v>2</v>
      </c>
      <c r="U114" s="12">
        <v>51.75</v>
      </c>
    </row>
    <row r="115" spans="14:24" x14ac:dyDescent="0.25">
      <c r="N115" s="2" t="str">
        <f t="shared" si="3"/>
        <v>LW ID1</v>
      </c>
      <c r="O115" cm="1">
        <f t="array" ref="O115">INDEX($F$6:$F$68, INT((ROWS(O$6:O115)-1)/5)+1)</f>
        <v>8</v>
      </c>
      <c r="P115" cm="1">
        <f t="array" ref="P115">INDEX($G$6:$G$68, INT((ROWS(P$6:P115)-1)/5)+1)</f>
        <v>1</v>
      </c>
      <c r="Q115">
        <f>MOD(ROWS(Q$6:Q115)-1,5)+1</f>
        <v>5</v>
      </c>
      <c r="R115" cm="1">
        <f t="array" ref="R115">INDEX($H$6:$H$68, INT((ROWS(R$6:R115)-1)/5)+1)</f>
        <v>2</v>
      </c>
      <c r="S115" cm="1">
        <f t="array" ref="S115">INDEX($I$6:$I$68, INT((ROWS(S$6:S115)-1)/5)+1)</f>
        <v>2</v>
      </c>
      <c r="U115" s="12">
        <v>55.44</v>
      </c>
    </row>
    <row r="116" spans="14:24" x14ac:dyDescent="0.25">
      <c r="N116" s="2" t="str">
        <f t="shared" si="3"/>
        <v>LW ID1</v>
      </c>
      <c r="O116" cm="1">
        <f t="array" ref="O116">INDEX($F$6:$F$68, INT((ROWS(O$6:O116)-1)/5)+1)</f>
        <v>8</v>
      </c>
      <c r="P116" cm="1">
        <f t="array" ref="P116">INDEX($G$6:$G$68, INT((ROWS(P$6:P116)-1)/5)+1)</f>
        <v>2</v>
      </c>
      <c r="Q116">
        <f>MOD(ROWS(Q$6:Q116)-1,5)+1</f>
        <v>1</v>
      </c>
      <c r="R116" cm="1">
        <f t="array" ref="R116">INDEX($H$6:$H$68, INT((ROWS(R$6:R116)-1)/5)+1)</f>
        <v>3</v>
      </c>
      <c r="S116" cm="1">
        <f t="array" ref="S116">INDEX($I$6:$I$68, INT((ROWS(S$6:S116)-1)/5)+1)</f>
        <v>2</v>
      </c>
      <c r="U116" s="12">
        <v>80.58</v>
      </c>
    </row>
    <row r="117" spans="14:24" x14ac:dyDescent="0.25">
      <c r="N117" s="2" t="str">
        <f t="shared" si="3"/>
        <v>LW ID1</v>
      </c>
      <c r="O117" cm="1">
        <f t="array" ref="O117">INDEX($F$6:$F$68, INT((ROWS(O$6:O117)-1)/5)+1)</f>
        <v>8</v>
      </c>
      <c r="P117" cm="1">
        <f t="array" ref="P117">INDEX($G$6:$G$68, INT((ROWS(P$6:P117)-1)/5)+1)</f>
        <v>2</v>
      </c>
      <c r="Q117">
        <f>MOD(ROWS(Q$6:Q117)-1,5)+1</f>
        <v>2</v>
      </c>
      <c r="R117" cm="1">
        <f t="array" ref="R117">INDEX($H$6:$H$68, INT((ROWS(R$6:R117)-1)/5)+1)</f>
        <v>3</v>
      </c>
      <c r="S117" cm="1">
        <f t="array" ref="S117">INDEX($I$6:$I$68, INT((ROWS(S$6:S117)-1)/5)+1)</f>
        <v>2</v>
      </c>
      <c r="U117" s="12">
        <v>98.35</v>
      </c>
    </row>
    <row r="118" spans="14:24" x14ac:dyDescent="0.25">
      <c r="N118" s="2" t="str">
        <f t="shared" si="3"/>
        <v>LW ID1</v>
      </c>
      <c r="O118" cm="1">
        <f t="array" ref="O118">INDEX($F$6:$F$68, INT((ROWS(O$6:O118)-1)/5)+1)</f>
        <v>8</v>
      </c>
      <c r="P118" cm="1">
        <f t="array" ref="P118">INDEX($G$6:$G$68, INT((ROWS(P$6:P118)-1)/5)+1)</f>
        <v>2</v>
      </c>
      <c r="Q118">
        <f>MOD(ROWS(Q$6:Q118)-1,5)+1</f>
        <v>3</v>
      </c>
      <c r="R118" cm="1">
        <f t="array" ref="R118">INDEX($H$6:$H$68, INT((ROWS(R$6:R118)-1)/5)+1)</f>
        <v>3</v>
      </c>
      <c r="S118" cm="1">
        <f t="array" ref="S118">INDEX($I$6:$I$68, INT((ROWS(S$6:S118)-1)/5)+1)</f>
        <v>2</v>
      </c>
      <c r="U118" s="12">
        <v>77.61</v>
      </c>
    </row>
    <row r="119" spans="14:24" x14ac:dyDescent="0.25">
      <c r="N119" s="2" t="str">
        <f t="shared" si="3"/>
        <v>LW ID1</v>
      </c>
      <c r="O119" cm="1">
        <f t="array" ref="O119">INDEX($F$6:$F$68, INT((ROWS(O$6:O119)-1)/5)+1)</f>
        <v>8</v>
      </c>
      <c r="P119" cm="1">
        <f t="array" ref="P119">INDEX($G$6:$G$68, INT((ROWS(P$6:P119)-1)/5)+1)</f>
        <v>2</v>
      </c>
      <c r="Q119">
        <f>MOD(ROWS(Q$6:Q119)-1,5)+1</f>
        <v>4</v>
      </c>
      <c r="R119" cm="1">
        <f t="array" ref="R119">INDEX($H$6:$H$68, INT((ROWS(R$6:R119)-1)/5)+1)</f>
        <v>3</v>
      </c>
      <c r="S119" cm="1">
        <f t="array" ref="S119">INDEX($I$6:$I$68, INT((ROWS(S$6:S119)-1)/5)+1)</f>
        <v>2</v>
      </c>
      <c r="U119" s="12">
        <v>77.959999999999994</v>
      </c>
    </row>
    <row r="120" spans="14:24" x14ac:dyDescent="0.25">
      <c r="N120" s="2" t="str">
        <f t="shared" si="3"/>
        <v>LW ID1</v>
      </c>
      <c r="O120" cm="1">
        <f t="array" ref="O120">INDEX($F$6:$F$68, INT((ROWS(O$6:O120)-1)/5)+1)</f>
        <v>8</v>
      </c>
      <c r="P120" cm="1">
        <f t="array" ref="P120">INDEX($G$6:$G$68, INT((ROWS(P$6:P120)-1)/5)+1)</f>
        <v>2</v>
      </c>
      <c r="Q120">
        <f>MOD(ROWS(Q$6:Q120)-1,5)+1</f>
        <v>5</v>
      </c>
      <c r="R120" cm="1">
        <f t="array" ref="R120">INDEX($H$6:$H$68, INT((ROWS(R$6:R120)-1)/5)+1)</f>
        <v>3</v>
      </c>
      <c r="S120" cm="1">
        <f t="array" ref="S120">INDEX($I$6:$I$68, INT((ROWS(S$6:S120)-1)/5)+1)</f>
        <v>2</v>
      </c>
      <c r="U120" s="12">
        <v>71.319999999999993</v>
      </c>
    </row>
    <row r="121" spans="14:24" x14ac:dyDescent="0.25">
      <c r="N121" s="2" t="str">
        <f t="shared" si="3"/>
        <v>LW ID1</v>
      </c>
      <c r="O121" cm="1">
        <f t="array" ref="O121">INDEX($F$6:$F$68, INT((ROWS(O$6:O121)-1)/5)+1)</f>
        <v>8</v>
      </c>
      <c r="P121" cm="1">
        <f t="array" ref="P121">INDEX($G$6:$G$68, INT((ROWS(P$6:P121)-1)/5)+1)</f>
        <v>3</v>
      </c>
      <c r="Q121">
        <f>MOD(ROWS(Q$6:Q121)-1,5)+1</f>
        <v>1</v>
      </c>
      <c r="R121" cm="1">
        <f t="array" ref="R121">INDEX($H$6:$H$68, INT((ROWS(R$6:R121)-1)/5)+1)</f>
        <v>1</v>
      </c>
      <c r="S121" cm="1">
        <f t="array" ref="S121">INDEX($I$6:$I$68, INT((ROWS(S$6:S121)-1)/5)+1)</f>
        <v>2</v>
      </c>
      <c r="U121" s="12">
        <v>65.88</v>
      </c>
    </row>
    <row r="122" spans="14:24" x14ac:dyDescent="0.25">
      <c r="N122" s="2" t="str">
        <f t="shared" si="3"/>
        <v>LW ID1</v>
      </c>
      <c r="O122" cm="1">
        <f t="array" ref="O122">INDEX($F$6:$F$68, INT((ROWS(O$6:O122)-1)/5)+1)</f>
        <v>8</v>
      </c>
      <c r="P122" cm="1">
        <f t="array" ref="P122">INDEX($G$6:$G$68, INT((ROWS(P$6:P122)-1)/5)+1)</f>
        <v>3</v>
      </c>
      <c r="Q122">
        <f>MOD(ROWS(Q$6:Q122)-1,5)+1</f>
        <v>2</v>
      </c>
      <c r="R122" cm="1">
        <f t="array" ref="R122">INDEX($H$6:$H$68, INT((ROWS(R$6:R122)-1)/5)+1)</f>
        <v>1</v>
      </c>
      <c r="S122" cm="1">
        <f t="array" ref="S122">INDEX($I$6:$I$68, INT((ROWS(S$6:S122)-1)/5)+1)</f>
        <v>2</v>
      </c>
      <c r="U122" s="12">
        <v>62.23</v>
      </c>
    </row>
    <row r="123" spans="14:24" x14ac:dyDescent="0.25">
      <c r="N123" s="2" t="str">
        <f t="shared" si="3"/>
        <v>LW ID1</v>
      </c>
      <c r="O123" cm="1">
        <f t="array" ref="O123">INDEX($F$6:$F$68, INT((ROWS(O$6:O123)-1)/5)+1)</f>
        <v>8</v>
      </c>
      <c r="P123" cm="1">
        <f t="array" ref="P123">INDEX($G$6:$G$68, INT((ROWS(P$6:P123)-1)/5)+1)</f>
        <v>3</v>
      </c>
      <c r="Q123">
        <f>MOD(ROWS(Q$6:Q123)-1,5)+1</f>
        <v>3</v>
      </c>
      <c r="R123" cm="1">
        <f t="array" ref="R123">INDEX($H$6:$H$68, INT((ROWS(R$6:R123)-1)/5)+1)</f>
        <v>1</v>
      </c>
      <c r="S123" cm="1">
        <f t="array" ref="S123">INDEX($I$6:$I$68, INT((ROWS(S$6:S123)-1)/5)+1)</f>
        <v>2</v>
      </c>
      <c r="U123" s="12">
        <v>66</v>
      </c>
    </row>
    <row r="124" spans="14:24" x14ac:dyDescent="0.25">
      <c r="N124" s="2" t="str">
        <f t="shared" si="3"/>
        <v>LW ID1</v>
      </c>
      <c r="O124" cm="1">
        <f t="array" ref="O124">INDEX($F$6:$F$68, INT((ROWS(O$6:O124)-1)/5)+1)</f>
        <v>8</v>
      </c>
      <c r="P124" cm="1">
        <f t="array" ref="P124">INDEX($G$6:$G$68, INT((ROWS(P$6:P124)-1)/5)+1)</f>
        <v>3</v>
      </c>
      <c r="Q124">
        <f>MOD(ROWS(Q$6:Q124)-1,5)+1</f>
        <v>4</v>
      </c>
      <c r="R124" cm="1">
        <f t="array" ref="R124">INDEX($H$6:$H$68, INT((ROWS(R$6:R124)-1)/5)+1)</f>
        <v>1</v>
      </c>
      <c r="S124" cm="1">
        <f t="array" ref="S124">INDEX($I$6:$I$68, INT((ROWS(S$6:S124)-1)/5)+1)</f>
        <v>2</v>
      </c>
      <c r="U124" s="12">
        <v>61.18</v>
      </c>
    </row>
    <row r="125" spans="14:24" x14ac:dyDescent="0.25">
      <c r="N125" s="2" t="str">
        <f t="shared" si="3"/>
        <v>LW ID1</v>
      </c>
      <c r="O125" cm="1">
        <f t="array" ref="O125">INDEX($F$6:$F$68, INT((ROWS(O$6:O125)-1)/5)+1)</f>
        <v>8</v>
      </c>
      <c r="P125" cm="1">
        <f t="array" ref="P125">INDEX($G$6:$G$68, INT((ROWS(P$6:P125)-1)/5)+1)</f>
        <v>3</v>
      </c>
      <c r="Q125">
        <f>MOD(ROWS(Q$6:Q125)-1,5)+1</f>
        <v>5</v>
      </c>
      <c r="R125" cm="1">
        <f t="array" ref="R125">INDEX($H$6:$H$68, INT((ROWS(R$6:R125)-1)/5)+1)</f>
        <v>1</v>
      </c>
      <c r="S125" cm="1">
        <f t="array" ref="S125">INDEX($I$6:$I$68, INT((ROWS(S$6:S125)-1)/5)+1)</f>
        <v>2</v>
      </c>
      <c r="U125" s="12">
        <v>65.709999999999994</v>
      </c>
    </row>
    <row r="126" spans="14:24" x14ac:dyDescent="0.25">
      <c r="N126" s="2" t="str">
        <f t="shared" si="3"/>
        <v>JS ID2</v>
      </c>
      <c r="O126" cm="1">
        <f t="array" ref="O126">INDEX($F$6:$F$68, INT((ROWS(O$6:O126)-1)/5)+1)</f>
        <v>9</v>
      </c>
      <c r="P126" cm="1">
        <f t="array" ref="P126">INDEX($G$6:$G$68, INT((ROWS(P$6:P126)-1)/5)+1)</f>
        <v>2</v>
      </c>
      <c r="Q126">
        <f>MOD(ROWS(Q$6:Q126)-1,5)+1</f>
        <v>1</v>
      </c>
      <c r="R126" cm="1">
        <f t="array" ref="R126">INDEX($H$6:$H$68, INT((ROWS(R$6:R126)-1)/5)+1)</f>
        <v>3</v>
      </c>
      <c r="S126" cm="1">
        <f t="array" ref="S126">INDEX($I$6:$I$68, INT((ROWS(S$6:S126)-1)/5)+1)</f>
        <v>2</v>
      </c>
      <c r="U126" s="12">
        <v>90.22</v>
      </c>
    </row>
    <row r="127" spans="14:24" x14ac:dyDescent="0.25">
      <c r="N127" s="2" t="str">
        <f t="shared" si="3"/>
        <v>JS ID2</v>
      </c>
      <c r="O127" cm="1">
        <f t="array" ref="O127">INDEX($F$6:$F$68, INT((ROWS(O$6:O127)-1)/5)+1)</f>
        <v>9</v>
      </c>
      <c r="P127" cm="1">
        <f t="array" ref="P127">INDEX($G$6:$G$68, INT((ROWS(P$6:P127)-1)/5)+1)</f>
        <v>2</v>
      </c>
      <c r="Q127">
        <f>MOD(ROWS(Q$6:Q127)-1,5)+1</f>
        <v>2</v>
      </c>
      <c r="R127" cm="1">
        <f t="array" ref="R127">INDEX($H$6:$H$68, INT((ROWS(R$6:R127)-1)/5)+1)</f>
        <v>3</v>
      </c>
      <c r="S127" cm="1">
        <f t="array" ref="S127">INDEX($I$6:$I$68, INT((ROWS(S$6:S127)-1)/5)+1)</f>
        <v>2</v>
      </c>
      <c r="U127" s="12">
        <v>81.08</v>
      </c>
      <c r="V127">
        <f t="shared" ref="V127:V135" si="4">(U127-U126)/U126</f>
        <v>-0.10130791398802927</v>
      </c>
    </row>
    <row r="128" spans="14:24" x14ac:dyDescent="0.25">
      <c r="N128" s="2" t="str">
        <f t="shared" si="3"/>
        <v>JS ID2</v>
      </c>
      <c r="O128" cm="1">
        <f t="array" ref="O128">INDEX($F$6:$F$68, INT((ROWS(O$6:O128)-1)/5)+1)</f>
        <v>9</v>
      </c>
      <c r="P128" cm="1">
        <f t="array" ref="P128">INDEX($G$6:$G$68, INT((ROWS(P$6:P128)-1)/5)+1)</f>
        <v>2</v>
      </c>
      <c r="Q128">
        <f>MOD(ROWS(Q$6:Q128)-1,5)+1</f>
        <v>3</v>
      </c>
      <c r="R128" cm="1">
        <f t="array" ref="R128">INDEX($H$6:$H$68, INT((ROWS(R$6:R128)-1)/5)+1)</f>
        <v>3</v>
      </c>
      <c r="S128" cm="1">
        <f t="array" ref="S128">INDEX($I$6:$I$68, INT((ROWS(S$6:S128)-1)/5)+1)</f>
        <v>2</v>
      </c>
      <c r="U128" s="12">
        <v>74.010000000000005</v>
      </c>
      <c r="V128">
        <f t="shared" si="4"/>
        <v>-8.7197829304390642E-2</v>
      </c>
      <c r="X128" s="14">
        <f>AVERAGE(V127:V130)</f>
        <v>6.3015765956986047E-3</v>
      </c>
    </row>
    <row r="129" spans="14:24" x14ac:dyDescent="0.25">
      <c r="N129" s="2" t="str">
        <f t="shared" si="3"/>
        <v>JS ID2</v>
      </c>
      <c r="O129" cm="1">
        <f t="array" ref="O129">INDEX($F$6:$F$68, INT((ROWS(O$6:O129)-1)/5)+1)</f>
        <v>9</v>
      </c>
      <c r="P129" cm="1">
        <f t="array" ref="P129">INDEX($G$6:$G$68, INT((ROWS(P$6:P129)-1)/5)+1)</f>
        <v>2</v>
      </c>
      <c r="Q129">
        <f>MOD(ROWS(Q$6:Q129)-1,5)+1</f>
        <v>4</v>
      </c>
      <c r="R129" cm="1">
        <f t="array" ref="R129">INDEX($H$6:$H$68, INT((ROWS(R$6:R129)-1)/5)+1)</f>
        <v>3</v>
      </c>
      <c r="S129" cm="1">
        <f t="array" ref="S129">INDEX($I$6:$I$68, INT((ROWS(S$6:S129)-1)/5)+1)</f>
        <v>2</v>
      </c>
      <c r="U129" s="12">
        <v>72.37</v>
      </c>
      <c r="V129">
        <f t="shared" si="4"/>
        <v>-2.2159167680043244E-2</v>
      </c>
    </row>
    <row r="130" spans="14:24" x14ac:dyDescent="0.25">
      <c r="N130" s="2" t="str">
        <f t="shared" si="3"/>
        <v>JS ID2</v>
      </c>
      <c r="O130" cm="1">
        <f t="array" ref="O130">INDEX($F$6:$F$68, INT((ROWS(O$6:O130)-1)/5)+1)</f>
        <v>9</v>
      </c>
      <c r="P130" cm="1">
        <f t="array" ref="P130">INDEX($G$6:$G$68, INT((ROWS(P$6:P130)-1)/5)+1)</f>
        <v>2</v>
      </c>
      <c r="Q130">
        <f>MOD(ROWS(Q$6:Q130)-1,5)+1</f>
        <v>5</v>
      </c>
      <c r="R130" cm="1">
        <f t="array" ref="R130">INDEX($H$6:$H$68, INT((ROWS(R$6:R130)-1)/5)+1)</f>
        <v>3</v>
      </c>
      <c r="S130" cm="1">
        <f t="array" ref="S130">INDEX($I$6:$I$68, INT((ROWS(S$6:S130)-1)/5)+1)</f>
        <v>2</v>
      </c>
      <c r="U130" s="12">
        <v>89.44</v>
      </c>
      <c r="V130">
        <f t="shared" si="4"/>
        <v>0.2358712173552576</v>
      </c>
    </row>
    <row r="131" spans="14:24" x14ac:dyDescent="0.25">
      <c r="N131" s="2" t="str">
        <f t="shared" si="3"/>
        <v>JS ID2</v>
      </c>
      <c r="O131" cm="1">
        <f t="array" ref="O131">INDEX($F$6:$F$68, INT((ROWS(O$6:O131)-1)/5)+1)</f>
        <v>9</v>
      </c>
      <c r="P131" cm="1">
        <f t="array" ref="P131">INDEX($G$6:$G$68, INT((ROWS(P$6:P131)-1)/5)+1)</f>
        <v>3</v>
      </c>
      <c r="Q131">
        <f>MOD(ROWS(Q$6:Q131)-1,5)+1</f>
        <v>1</v>
      </c>
      <c r="R131" cm="1">
        <f t="array" ref="R131">INDEX($H$6:$H$68, INT((ROWS(R$6:R131)-1)/5)+1)</f>
        <v>1</v>
      </c>
      <c r="S131" cm="1">
        <f t="array" ref="S131">INDEX($I$6:$I$68, INT((ROWS(S$6:S131)-1)/5)+1)</f>
        <v>2</v>
      </c>
      <c r="U131" s="12">
        <v>65.7</v>
      </c>
    </row>
    <row r="132" spans="14:24" x14ac:dyDescent="0.25">
      <c r="N132" s="2" t="str">
        <f t="shared" si="3"/>
        <v>JS ID2</v>
      </c>
      <c r="O132" cm="1">
        <f t="array" ref="O132">INDEX($F$6:$F$68, INT((ROWS(O$6:O132)-1)/5)+1)</f>
        <v>9</v>
      </c>
      <c r="P132" cm="1">
        <f t="array" ref="P132">INDEX($G$6:$G$68, INT((ROWS(P$6:P132)-1)/5)+1)</f>
        <v>3</v>
      </c>
      <c r="Q132">
        <f>MOD(ROWS(Q$6:Q132)-1,5)+1</f>
        <v>2</v>
      </c>
      <c r="R132" cm="1">
        <f t="array" ref="R132">INDEX($H$6:$H$68, INT((ROWS(R$6:R132)-1)/5)+1)</f>
        <v>1</v>
      </c>
      <c r="S132" cm="1">
        <f t="array" ref="S132">INDEX($I$6:$I$68, INT((ROWS(S$6:S132)-1)/5)+1)</f>
        <v>2</v>
      </c>
      <c r="U132" s="12">
        <v>60.51</v>
      </c>
      <c r="V132">
        <f t="shared" si="4"/>
        <v>-7.8995433789954411E-2</v>
      </c>
    </row>
    <row r="133" spans="14:24" x14ac:dyDescent="0.25">
      <c r="N133" s="2" t="str">
        <f t="shared" si="3"/>
        <v>JS ID2</v>
      </c>
      <c r="O133" cm="1">
        <f t="array" ref="O133">INDEX($F$6:$F$68, INT((ROWS(O$6:O133)-1)/5)+1)</f>
        <v>9</v>
      </c>
      <c r="P133" cm="1">
        <f t="array" ref="P133">INDEX($G$6:$G$68, INT((ROWS(P$6:P133)-1)/5)+1)</f>
        <v>3</v>
      </c>
      <c r="Q133">
        <f>MOD(ROWS(Q$6:Q133)-1,5)+1</f>
        <v>3</v>
      </c>
      <c r="R133" cm="1">
        <f t="array" ref="R133">INDEX($H$6:$H$68, INT((ROWS(R$6:R133)-1)/5)+1)</f>
        <v>1</v>
      </c>
      <c r="S133" cm="1">
        <f t="array" ref="S133">INDEX($I$6:$I$68, INT((ROWS(S$6:S133)-1)/5)+1)</f>
        <v>2</v>
      </c>
      <c r="U133" s="12">
        <v>71.819999999999993</v>
      </c>
      <c r="V133">
        <f t="shared" si="4"/>
        <v>0.18691125433812586</v>
      </c>
    </row>
    <row r="134" spans="14:24" x14ac:dyDescent="0.25">
      <c r="N134" s="2" t="str">
        <f t="shared" si="3"/>
        <v>JS ID2</v>
      </c>
      <c r="O134" cm="1">
        <f t="array" ref="O134">INDEX($F$6:$F$68, INT((ROWS(O$6:O134)-1)/5)+1)</f>
        <v>9</v>
      </c>
      <c r="P134" cm="1">
        <f t="array" ref="P134">INDEX($G$6:$G$68, INT((ROWS(P$6:P134)-1)/5)+1)</f>
        <v>3</v>
      </c>
      <c r="Q134">
        <f>MOD(ROWS(Q$6:Q134)-1,5)+1</f>
        <v>4</v>
      </c>
      <c r="R134" cm="1">
        <f t="array" ref="R134">INDEX($H$6:$H$68, INT((ROWS(R$6:R134)-1)/5)+1)</f>
        <v>1</v>
      </c>
      <c r="S134" cm="1">
        <f t="array" ref="S134">INDEX($I$6:$I$68, INT((ROWS(S$6:S134)-1)/5)+1)</f>
        <v>2</v>
      </c>
      <c r="U134" s="12">
        <v>61.53</v>
      </c>
      <c r="V134">
        <f t="shared" si="4"/>
        <v>-0.1432748538011695</v>
      </c>
      <c r="X134" s="14">
        <f>AVERAGE(V132:V135)</f>
        <v>-2.7858008941043727E-3</v>
      </c>
    </row>
    <row r="135" spans="14:24" x14ac:dyDescent="0.25">
      <c r="N135" s="2" t="str">
        <f t="shared" ref="N135:N198" si="5">INDEX($B$6:$B$26, MATCH(O135, $A$6:$A$26, 0))</f>
        <v>JS ID2</v>
      </c>
      <c r="O135" cm="1">
        <f t="array" ref="O135">INDEX($F$6:$F$68, INT((ROWS(O$6:O135)-1)/5)+1)</f>
        <v>9</v>
      </c>
      <c r="P135" cm="1">
        <f t="array" ref="P135">INDEX($G$6:$G$68, INT((ROWS(P$6:P135)-1)/5)+1)</f>
        <v>3</v>
      </c>
      <c r="Q135">
        <f>MOD(ROWS(Q$6:Q135)-1,5)+1</f>
        <v>5</v>
      </c>
      <c r="R135" cm="1">
        <f t="array" ref="R135">INDEX($H$6:$H$68, INT((ROWS(R$6:R135)-1)/5)+1)</f>
        <v>1</v>
      </c>
      <c r="S135" cm="1">
        <f t="array" ref="S135">INDEX($I$6:$I$68, INT((ROWS(S$6:S135)-1)/5)+1)</f>
        <v>2</v>
      </c>
      <c r="U135" s="12">
        <v>63.02</v>
      </c>
      <c r="V135">
        <f t="shared" si="4"/>
        <v>2.421582967658056E-2</v>
      </c>
    </row>
    <row r="136" spans="14:24" x14ac:dyDescent="0.25">
      <c r="N136" s="2" t="str">
        <f t="shared" si="5"/>
        <v>JS ID2</v>
      </c>
      <c r="O136" cm="1">
        <f t="array" ref="O136">INDEX($F$6:$F$68, INT((ROWS(O$6:O136)-1)/5)+1)</f>
        <v>9</v>
      </c>
      <c r="P136" cm="1">
        <f t="array" ref="P136">INDEX($G$6:$G$68, INT((ROWS(P$6:P136)-1)/5)+1)</f>
        <v>1</v>
      </c>
      <c r="Q136">
        <f>MOD(ROWS(Q$6:Q136)-1,5)+1</f>
        <v>1</v>
      </c>
      <c r="R136" cm="1">
        <f t="array" ref="R136">INDEX($H$6:$H$68, INT((ROWS(R$6:R136)-1)/5)+1)</f>
        <v>2</v>
      </c>
      <c r="S136" cm="1">
        <f t="array" ref="S136">INDEX($I$6:$I$68, INT((ROWS(S$6:S136)-1)/5)+1)</f>
        <v>2</v>
      </c>
      <c r="U136" s="12">
        <v>57.89</v>
      </c>
    </row>
    <row r="137" spans="14:24" x14ac:dyDescent="0.25">
      <c r="N137" s="2" t="str">
        <f t="shared" si="5"/>
        <v>JS ID2</v>
      </c>
      <c r="O137" cm="1">
        <f t="array" ref="O137">INDEX($F$6:$F$68, INT((ROWS(O$6:O137)-1)/5)+1)</f>
        <v>9</v>
      </c>
      <c r="P137" cm="1">
        <f t="array" ref="P137">INDEX($G$6:$G$68, INT((ROWS(P$6:P137)-1)/5)+1)</f>
        <v>1</v>
      </c>
      <c r="Q137">
        <f>MOD(ROWS(Q$6:Q137)-1,5)+1</f>
        <v>2</v>
      </c>
      <c r="R137" cm="1">
        <f t="array" ref="R137">INDEX($H$6:$H$68, INT((ROWS(R$6:R137)-1)/5)+1)</f>
        <v>2</v>
      </c>
      <c r="S137" cm="1">
        <f t="array" ref="S137">INDEX($I$6:$I$68, INT((ROWS(S$6:S137)-1)/5)+1)</f>
        <v>2</v>
      </c>
      <c r="U137" s="12">
        <v>49.75</v>
      </c>
      <c r="V137">
        <f>(U137-U136)/U136</f>
        <v>-0.14061150457764726</v>
      </c>
    </row>
    <row r="138" spans="14:24" x14ac:dyDescent="0.25">
      <c r="N138" s="2" t="str">
        <f t="shared" si="5"/>
        <v>JS ID2</v>
      </c>
      <c r="O138" cm="1">
        <f t="array" ref="O138">INDEX($F$6:$F$68, INT((ROWS(O$6:O138)-1)/5)+1)</f>
        <v>9</v>
      </c>
      <c r="P138" cm="1">
        <f t="array" ref="P138">INDEX($G$6:$G$68, INT((ROWS(P$6:P138)-1)/5)+1)</f>
        <v>1</v>
      </c>
      <c r="Q138">
        <f>MOD(ROWS(Q$6:Q138)-1,5)+1</f>
        <v>3</v>
      </c>
      <c r="R138" cm="1">
        <f t="array" ref="R138">INDEX($H$6:$H$68, INT((ROWS(R$6:R138)-1)/5)+1)</f>
        <v>2</v>
      </c>
      <c r="S138" cm="1">
        <f t="array" ref="S138">INDEX($I$6:$I$68, INT((ROWS(S$6:S138)-1)/5)+1)</f>
        <v>2</v>
      </c>
      <c r="U138" s="12">
        <v>53.04</v>
      </c>
      <c r="V138">
        <f t="shared" ref="V138:V140" si="6">(U138-U137)/U137</f>
        <v>6.6130653266331635E-2</v>
      </c>
      <c r="X138" s="14">
        <f>AVERAGE(V137:V140)</f>
        <v>-4.8880972411060583E-2</v>
      </c>
    </row>
    <row r="139" spans="14:24" x14ac:dyDescent="0.25">
      <c r="N139" s="2" t="str">
        <f t="shared" si="5"/>
        <v>JS ID2</v>
      </c>
      <c r="O139" cm="1">
        <f t="array" ref="O139">INDEX($F$6:$F$68, INT((ROWS(O$6:O139)-1)/5)+1)</f>
        <v>9</v>
      </c>
      <c r="P139" cm="1">
        <f t="array" ref="P139">INDEX($G$6:$G$68, INT((ROWS(P$6:P139)-1)/5)+1)</f>
        <v>1</v>
      </c>
      <c r="Q139">
        <f>MOD(ROWS(Q$6:Q139)-1,5)+1</f>
        <v>4</v>
      </c>
      <c r="R139" cm="1">
        <f t="array" ref="R139">INDEX($H$6:$H$68, INT((ROWS(R$6:R139)-1)/5)+1)</f>
        <v>2</v>
      </c>
      <c r="S139" cm="1">
        <f t="array" ref="S139">INDEX($I$6:$I$68, INT((ROWS(S$6:S139)-1)/5)+1)</f>
        <v>2</v>
      </c>
      <c r="U139" s="12">
        <v>45.62</v>
      </c>
      <c r="V139">
        <f t="shared" si="6"/>
        <v>-0.13989441930618404</v>
      </c>
    </row>
    <row r="140" spans="14:24" x14ac:dyDescent="0.25">
      <c r="N140" s="2" t="str">
        <f t="shared" si="5"/>
        <v>JS ID2</v>
      </c>
      <c r="O140" cm="1">
        <f t="array" ref="O140">INDEX($F$6:$F$68, INT((ROWS(O$6:O140)-1)/5)+1)</f>
        <v>9</v>
      </c>
      <c r="P140" cm="1">
        <f t="array" ref="P140">INDEX($G$6:$G$68, INT((ROWS(P$6:P140)-1)/5)+1)</f>
        <v>1</v>
      </c>
      <c r="Q140">
        <f>MOD(ROWS(Q$6:Q140)-1,5)+1</f>
        <v>5</v>
      </c>
      <c r="R140" cm="1">
        <f t="array" ref="R140">INDEX($H$6:$H$68, INT((ROWS(R$6:R140)-1)/5)+1)</f>
        <v>2</v>
      </c>
      <c r="S140" cm="1">
        <f t="array" ref="S140">INDEX($I$6:$I$68, INT((ROWS(S$6:S140)-1)/5)+1)</f>
        <v>2</v>
      </c>
      <c r="U140" s="12">
        <v>46.48</v>
      </c>
      <c r="V140">
        <f t="shared" si="6"/>
        <v>1.8851380973257333E-2</v>
      </c>
    </row>
    <row r="141" spans="14:24" x14ac:dyDescent="0.25">
      <c r="N141" s="2" t="str">
        <f t="shared" si="5"/>
        <v>MH ID13</v>
      </c>
      <c r="O141" cm="1">
        <f t="array" ref="O141">INDEX($F$6:$F$68, INT((ROWS(O$6:O141)-1)/5)+1)</f>
        <v>10</v>
      </c>
      <c r="P141" cm="1">
        <f t="array" ref="P141">INDEX($G$6:$G$68, INT((ROWS(P$6:P141)-1)/5)+1)</f>
        <v>1</v>
      </c>
      <c r="Q141">
        <f>MOD(ROWS(Q$6:Q141)-1,5)+1</f>
        <v>1</v>
      </c>
      <c r="R141" cm="1">
        <f t="array" ref="R141">INDEX($H$6:$H$68, INT((ROWS(R$6:R141)-1)/5)+1)</f>
        <v>1</v>
      </c>
      <c r="S141" cm="1">
        <f t="array" ref="S141">INDEX($I$6:$I$68, INT((ROWS(S$6:S141)-1)/5)+1)</f>
        <v>2</v>
      </c>
      <c r="U141" s="12">
        <v>99.46</v>
      </c>
    </row>
    <row r="142" spans="14:24" x14ac:dyDescent="0.25">
      <c r="N142" s="2" t="str">
        <f t="shared" si="5"/>
        <v>MH ID13</v>
      </c>
      <c r="O142" cm="1">
        <f t="array" ref="O142">INDEX($F$6:$F$68, INT((ROWS(O$6:O142)-1)/5)+1)</f>
        <v>10</v>
      </c>
      <c r="P142" cm="1">
        <f t="array" ref="P142">INDEX($G$6:$G$68, INT((ROWS(P$6:P142)-1)/5)+1)</f>
        <v>1</v>
      </c>
      <c r="Q142">
        <f>MOD(ROWS(Q$6:Q142)-1,5)+1</f>
        <v>2</v>
      </c>
      <c r="R142" cm="1">
        <f t="array" ref="R142">INDEX($H$6:$H$68, INT((ROWS(R$6:R142)-1)/5)+1)</f>
        <v>1</v>
      </c>
      <c r="S142" cm="1">
        <f t="array" ref="S142">INDEX($I$6:$I$68, INT((ROWS(S$6:S142)-1)/5)+1)</f>
        <v>2</v>
      </c>
      <c r="U142" s="12">
        <v>68</v>
      </c>
    </row>
    <row r="143" spans="14:24" x14ac:dyDescent="0.25">
      <c r="N143" s="2" t="str">
        <f t="shared" si="5"/>
        <v>MH ID13</v>
      </c>
      <c r="O143" cm="1">
        <f t="array" ref="O143">INDEX($F$6:$F$68, INT((ROWS(O$6:O143)-1)/5)+1)</f>
        <v>10</v>
      </c>
      <c r="P143" cm="1">
        <f t="array" ref="P143">INDEX($G$6:$G$68, INT((ROWS(P$6:P143)-1)/5)+1)</f>
        <v>1</v>
      </c>
      <c r="Q143">
        <f>MOD(ROWS(Q$6:Q143)-1,5)+1</f>
        <v>3</v>
      </c>
      <c r="R143" cm="1">
        <f t="array" ref="R143">INDEX($H$6:$H$68, INT((ROWS(R$6:R143)-1)/5)+1)</f>
        <v>1</v>
      </c>
      <c r="S143" cm="1">
        <f t="array" ref="S143">INDEX($I$6:$I$68, INT((ROWS(S$6:S143)-1)/5)+1)</f>
        <v>2</v>
      </c>
      <c r="U143" s="12">
        <v>76.959999999999994</v>
      </c>
    </row>
    <row r="144" spans="14:24" x14ac:dyDescent="0.25">
      <c r="N144" s="2" t="str">
        <f t="shared" si="5"/>
        <v>MH ID13</v>
      </c>
      <c r="O144" cm="1">
        <f t="array" ref="O144">INDEX($F$6:$F$68, INT((ROWS(O$6:O144)-1)/5)+1)</f>
        <v>10</v>
      </c>
      <c r="P144" cm="1">
        <f t="array" ref="P144">INDEX($G$6:$G$68, INT((ROWS(P$6:P144)-1)/5)+1)</f>
        <v>1</v>
      </c>
      <c r="Q144">
        <f>MOD(ROWS(Q$6:Q144)-1,5)+1</f>
        <v>4</v>
      </c>
      <c r="R144" cm="1">
        <f t="array" ref="R144">INDEX($H$6:$H$68, INT((ROWS(R$6:R144)-1)/5)+1)</f>
        <v>1</v>
      </c>
      <c r="S144" cm="1">
        <f t="array" ref="S144">INDEX($I$6:$I$68, INT((ROWS(S$6:S144)-1)/5)+1)</f>
        <v>2</v>
      </c>
      <c r="U144" s="12">
        <v>70.72</v>
      </c>
    </row>
    <row r="145" spans="14:22" x14ac:dyDescent="0.25">
      <c r="N145" s="2" t="str">
        <f t="shared" si="5"/>
        <v>MH ID13</v>
      </c>
      <c r="O145" cm="1">
        <f t="array" ref="O145">INDEX($F$6:$F$68, INT((ROWS(O$6:O145)-1)/5)+1)</f>
        <v>10</v>
      </c>
      <c r="P145" cm="1">
        <f t="array" ref="P145">INDEX($G$6:$G$68, INT((ROWS(P$6:P145)-1)/5)+1)</f>
        <v>1</v>
      </c>
      <c r="Q145">
        <f>MOD(ROWS(Q$6:Q145)-1,5)+1</f>
        <v>5</v>
      </c>
      <c r="R145" cm="1">
        <f t="array" ref="R145">INDEX($H$6:$H$68, INT((ROWS(R$6:R145)-1)/5)+1)</f>
        <v>1</v>
      </c>
      <c r="S145" cm="1">
        <f t="array" ref="S145">INDEX($I$6:$I$68, INT((ROWS(S$6:S145)-1)/5)+1)</f>
        <v>2</v>
      </c>
      <c r="U145" s="12">
        <v>87.25</v>
      </c>
    </row>
    <row r="146" spans="14:22" x14ac:dyDescent="0.25">
      <c r="N146" s="2" t="str">
        <f t="shared" si="5"/>
        <v>MH ID13</v>
      </c>
      <c r="O146" cm="1">
        <f t="array" ref="O146">INDEX($F$6:$F$68, INT((ROWS(O$6:O146)-1)/5)+1)</f>
        <v>10</v>
      </c>
      <c r="P146" cm="1">
        <f t="array" ref="P146">INDEX($G$6:$G$68, INT((ROWS(P$6:P146)-1)/5)+1)</f>
        <v>2</v>
      </c>
      <c r="Q146">
        <f>MOD(ROWS(Q$6:Q146)-1,5)+1</f>
        <v>1</v>
      </c>
      <c r="R146" cm="1">
        <f t="array" ref="R146">INDEX($H$6:$H$68, INT((ROWS(R$6:R146)-1)/5)+1)</f>
        <v>2</v>
      </c>
      <c r="S146" cm="1">
        <f t="array" ref="S146">INDEX($I$6:$I$68, INT((ROWS(S$6:S146)-1)/5)+1)</f>
        <v>2</v>
      </c>
      <c r="U146" s="12">
        <v>93.01</v>
      </c>
    </row>
    <row r="147" spans="14:22" x14ac:dyDescent="0.25">
      <c r="N147" s="2" t="str">
        <f t="shared" si="5"/>
        <v>MH ID13</v>
      </c>
      <c r="O147" cm="1">
        <f t="array" ref="O147">INDEX($F$6:$F$68, INT((ROWS(O$6:O147)-1)/5)+1)</f>
        <v>10</v>
      </c>
      <c r="P147" cm="1">
        <f t="array" ref="P147">INDEX($G$6:$G$68, INT((ROWS(P$6:P147)-1)/5)+1)</f>
        <v>2</v>
      </c>
      <c r="Q147">
        <f>MOD(ROWS(Q$6:Q147)-1,5)+1</f>
        <v>2</v>
      </c>
      <c r="R147" cm="1">
        <f t="array" ref="R147">INDEX($H$6:$H$68, INT((ROWS(R$6:R147)-1)/5)+1)</f>
        <v>2</v>
      </c>
      <c r="S147" cm="1">
        <f t="array" ref="S147">INDEX($I$6:$I$68, INT((ROWS(S$6:S147)-1)/5)+1)</f>
        <v>2</v>
      </c>
      <c r="U147" s="12">
        <v>110.65</v>
      </c>
    </row>
    <row r="148" spans="14:22" x14ac:dyDescent="0.25">
      <c r="N148" s="2" t="str">
        <f t="shared" si="5"/>
        <v>MH ID13</v>
      </c>
      <c r="O148" cm="1">
        <f t="array" ref="O148">INDEX($F$6:$F$68, INT((ROWS(O$6:O148)-1)/5)+1)</f>
        <v>10</v>
      </c>
      <c r="P148" cm="1">
        <f t="array" ref="P148">INDEX($G$6:$G$68, INT((ROWS(P$6:P148)-1)/5)+1)</f>
        <v>2</v>
      </c>
      <c r="Q148">
        <f>MOD(ROWS(Q$6:Q148)-1,5)+1</f>
        <v>3</v>
      </c>
      <c r="R148" cm="1">
        <f t="array" ref="R148">INDEX($H$6:$H$68, INT((ROWS(R$6:R148)-1)/5)+1)</f>
        <v>2</v>
      </c>
      <c r="S148" cm="1">
        <f t="array" ref="S148">INDEX($I$6:$I$68, INT((ROWS(S$6:S148)-1)/5)+1)</f>
        <v>2</v>
      </c>
      <c r="U148" s="12">
        <v>93.11</v>
      </c>
    </row>
    <row r="149" spans="14:22" x14ac:dyDescent="0.25">
      <c r="N149" s="2" t="str">
        <f t="shared" si="5"/>
        <v>MH ID13</v>
      </c>
      <c r="O149" cm="1">
        <f t="array" ref="O149">INDEX($F$6:$F$68, INT((ROWS(O$6:O149)-1)/5)+1)</f>
        <v>10</v>
      </c>
      <c r="P149" cm="1">
        <f t="array" ref="P149">INDEX($G$6:$G$68, INT((ROWS(P$6:P149)-1)/5)+1)</f>
        <v>2</v>
      </c>
      <c r="Q149">
        <f>MOD(ROWS(Q$6:Q149)-1,5)+1</f>
        <v>4</v>
      </c>
      <c r="R149" cm="1">
        <f t="array" ref="R149">INDEX($H$6:$H$68, INT((ROWS(R$6:R149)-1)/5)+1)</f>
        <v>2</v>
      </c>
      <c r="S149" cm="1">
        <f t="array" ref="S149">INDEX($I$6:$I$68, INT((ROWS(S$6:S149)-1)/5)+1)</f>
        <v>2</v>
      </c>
      <c r="U149" s="12">
        <v>99.13</v>
      </c>
    </row>
    <row r="150" spans="14:22" x14ac:dyDescent="0.25">
      <c r="N150" s="2" t="str">
        <f t="shared" si="5"/>
        <v>MH ID13</v>
      </c>
      <c r="O150" cm="1">
        <f t="array" ref="O150">INDEX($F$6:$F$68, INT((ROWS(O$6:O150)-1)/5)+1)</f>
        <v>10</v>
      </c>
      <c r="P150" cm="1">
        <f t="array" ref="P150">INDEX($G$6:$G$68, INT((ROWS(P$6:P150)-1)/5)+1)</f>
        <v>2</v>
      </c>
      <c r="Q150">
        <f>MOD(ROWS(Q$6:Q150)-1,5)+1</f>
        <v>5</v>
      </c>
      <c r="R150" cm="1">
        <f t="array" ref="R150">INDEX($H$6:$H$68, INT((ROWS(R$6:R150)-1)/5)+1)</f>
        <v>2</v>
      </c>
      <c r="S150" cm="1">
        <f t="array" ref="S150">INDEX($I$6:$I$68, INT((ROWS(S$6:S150)-1)/5)+1)</f>
        <v>2</v>
      </c>
      <c r="U150" s="12">
        <v>87.89</v>
      </c>
    </row>
    <row r="151" spans="14:22" x14ac:dyDescent="0.25">
      <c r="N151" s="2" t="str">
        <f t="shared" si="5"/>
        <v>MH ID13</v>
      </c>
      <c r="O151" cm="1">
        <f t="array" ref="O151">INDEX($F$6:$F$68, INT((ROWS(O$6:O151)-1)/5)+1)</f>
        <v>10</v>
      </c>
      <c r="P151" cm="1">
        <f t="array" ref="P151">INDEX($G$6:$G$68, INT((ROWS(P$6:P151)-1)/5)+1)</f>
        <v>3</v>
      </c>
      <c r="Q151">
        <f>MOD(ROWS(Q$6:Q151)-1,5)+1</f>
        <v>1</v>
      </c>
      <c r="R151" cm="1">
        <f t="array" ref="R151">INDEX($H$6:$H$68, INT((ROWS(R$6:R151)-1)/5)+1)</f>
        <v>3</v>
      </c>
      <c r="S151" cm="1">
        <f t="array" ref="S151">INDEX($I$6:$I$68, INT((ROWS(S$6:S151)-1)/5)+1)</f>
        <v>2</v>
      </c>
      <c r="U151" s="12">
        <v>76.010000000000005</v>
      </c>
    </row>
    <row r="152" spans="14:22" x14ac:dyDescent="0.25">
      <c r="N152" s="2" t="str">
        <f t="shared" si="5"/>
        <v>MH ID13</v>
      </c>
      <c r="O152" cm="1">
        <f t="array" ref="O152">INDEX($F$6:$F$68, INT((ROWS(O$6:O152)-1)/5)+1)</f>
        <v>10</v>
      </c>
      <c r="P152" cm="1">
        <f t="array" ref="P152">INDEX($G$6:$G$68, INT((ROWS(P$6:P152)-1)/5)+1)</f>
        <v>3</v>
      </c>
      <c r="Q152">
        <f>MOD(ROWS(Q$6:Q152)-1,5)+1</f>
        <v>2</v>
      </c>
      <c r="R152" cm="1">
        <f t="array" ref="R152">INDEX($H$6:$H$68, INT((ROWS(R$6:R152)-1)/5)+1)</f>
        <v>3</v>
      </c>
      <c r="S152" cm="1">
        <f t="array" ref="S152">INDEX($I$6:$I$68, INT((ROWS(S$6:S152)-1)/5)+1)</f>
        <v>2</v>
      </c>
      <c r="U152" s="12">
        <v>111.12</v>
      </c>
    </row>
    <row r="153" spans="14:22" x14ac:dyDescent="0.25">
      <c r="N153" s="2" t="str">
        <f t="shared" si="5"/>
        <v>MH ID13</v>
      </c>
      <c r="O153" cm="1">
        <f t="array" ref="O153">INDEX($F$6:$F$68, INT((ROWS(O$6:O153)-1)/5)+1)</f>
        <v>10</v>
      </c>
      <c r="P153" cm="1">
        <f t="array" ref="P153">INDEX($G$6:$G$68, INT((ROWS(P$6:P153)-1)/5)+1)</f>
        <v>3</v>
      </c>
      <c r="Q153">
        <f>MOD(ROWS(Q$6:Q153)-1,5)+1</f>
        <v>3</v>
      </c>
      <c r="R153" cm="1">
        <f t="array" ref="R153">INDEX($H$6:$H$68, INT((ROWS(R$6:R153)-1)/5)+1)</f>
        <v>3</v>
      </c>
      <c r="S153" cm="1">
        <f t="array" ref="S153">INDEX($I$6:$I$68, INT((ROWS(S$6:S153)-1)/5)+1)</f>
        <v>2</v>
      </c>
      <c r="U153" s="12">
        <v>87.73</v>
      </c>
    </row>
    <row r="154" spans="14:22" x14ac:dyDescent="0.25">
      <c r="N154" s="2" t="str">
        <f t="shared" si="5"/>
        <v>MH ID13</v>
      </c>
      <c r="O154" cm="1">
        <f t="array" ref="O154">INDEX($F$6:$F$68, INT((ROWS(O$6:O154)-1)/5)+1)</f>
        <v>10</v>
      </c>
      <c r="P154" cm="1">
        <f t="array" ref="P154">INDEX($G$6:$G$68, INT((ROWS(P$6:P154)-1)/5)+1)</f>
        <v>3</v>
      </c>
      <c r="Q154">
        <f>MOD(ROWS(Q$6:Q154)-1,5)+1</f>
        <v>4</v>
      </c>
      <c r="R154" cm="1">
        <f t="array" ref="R154">INDEX($H$6:$H$68, INT((ROWS(R$6:R154)-1)/5)+1)</f>
        <v>3</v>
      </c>
      <c r="S154" cm="1">
        <f t="array" ref="S154">INDEX($I$6:$I$68, INT((ROWS(S$6:S154)-1)/5)+1)</f>
        <v>2</v>
      </c>
      <c r="U154" s="12">
        <v>73.52</v>
      </c>
    </row>
    <row r="155" spans="14:22" x14ac:dyDescent="0.25">
      <c r="N155" s="2" t="str">
        <f t="shared" si="5"/>
        <v>MH ID13</v>
      </c>
      <c r="O155" cm="1">
        <f t="array" ref="O155">INDEX($F$6:$F$68, INT((ROWS(O$6:O155)-1)/5)+1)</f>
        <v>10</v>
      </c>
      <c r="P155" cm="1">
        <f t="array" ref="P155">INDEX($G$6:$G$68, INT((ROWS(P$6:P155)-1)/5)+1)</f>
        <v>3</v>
      </c>
      <c r="Q155">
        <f>MOD(ROWS(Q$6:Q155)-1,5)+1</f>
        <v>5</v>
      </c>
      <c r="R155" cm="1">
        <f t="array" ref="R155">INDEX($H$6:$H$68, INT((ROWS(R$6:R155)-1)/5)+1)</f>
        <v>3</v>
      </c>
      <c r="S155" cm="1">
        <f t="array" ref="S155">INDEX($I$6:$I$68, INT((ROWS(S$6:S155)-1)/5)+1)</f>
        <v>2</v>
      </c>
      <c r="U155" s="12">
        <v>94.78</v>
      </c>
    </row>
    <row r="156" spans="14:22" x14ac:dyDescent="0.25">
      <c r="N156" s="2" t="str">
        <f t="shared" si="5"/>
        <v>NS ID4</v>
      </c>
      <c r="O156" cm="1">
        <f t="array" ref="O156">INDEX($F$6:$F$68, INT((ROWS(O$6:O156)-1)/5)+1)</f>
        <v>11</v>
      </c>
      <c r="P156" cm="1">
        <f t="array" ref="P156">INDEX($G$6:$G$68, INT((ROWS(P$6:P156)-1)/5)+1)</f>
        <v>2</v>
      </c>
      <c r="Q156">
        <f>MOD(ROWS(Q$6:Q156)-1,5)+1</f>
        <v>1</v>
      </c>
      <c r="R156" cm="1">
        <f t="array" ref="R156">INDEX($H$6:$H$68, INT((ROWS(R$6:R156)-1)/5)+1)</f>
        <v>2</v>
      </c>
      <c r="S156" cm="1">
        <f t="array" ref="S156">INDEX($I$6:$I$68, INT((ROWS(S$6:S156)-1)/5)+1)</f>
        <v>2</v>
      </c>
      <c r="U156" s="12">
        <v>91.19</v>
      </c>
    </row>
    <row r="157" spans="14:22" x14ac:dyDescent="0.25">
      <c r="N157" s="2" t="str">
        <f t="shared" si="5"/>
        <v>NS ID4</v>
      </c>
      <c r="O157" cm="1">
        <f t="array" ref="O157">INDEX($F$6:$F$68, INT((ROWS(O$6:O157)-1)/5)+1)</f>
        <v>11</v>
      </c>
      <c r="P157" cm="1">
        <f t="array" ref="P157">INDEX($G$6:$G$68, INT((ROWS(P$6:P157)-1)/5)+1)</f>
        <v>2</v>
      </c>
      <c r="Q157">
        <f>MOD(ROWS(Q$6:Q157)-1,5)+1</f>
        <v>2</v>
      </c>
      <c r="R157" cm="1">
        <f t="array" ref="R157">INDEX($H$6:$H$68, INT((ROWS(R$6:R157)-1)/5)+1)</f>
        <v>2</v>
      </c>
      <c r="S157" cm="1">
        <f t="array" ref="S157">INDEX($I$6:$I$68, INT((ROWS(S$6:S157)-1)/5)+1)</f>
        <v>2</v>
      </c>
      <c r="U157" s="12">
        <v>88.86</v>
      </c>
    </row>
    <row r="158" spans="14:22" x14ac:dyDescent="0.25">
      <c r="N158" s="2" t="str">
        <f t="shared" si="5"/>
        <v>NS ID4</v>
      </c>
      <c r="O158" cm="1">
        <f t="array" ref="O158">INDEX($F$6:$F$68, INT((ROWS(O$6:O158)-1)/5)+1)</f>
        <v>11</v>
      </c>
      <c r="P158" cm="1">
        <f t="array" ref="P158">INDEX($G$6:$G$68, INT((ROWS(P$6:P158)-1)/5)+1)</f>
        <v>2</v>
      </c>
      <c r="Q158">
        <f>MOD(ROWS(Q$6:Q158)-1,5)+1</f>
        <v>3</v>
      </c>
      <c r="R158" cm="1">
        <f t="array" ref="R158">INDEX($H$6:$H$68, INT((ROWS(R$6:R158)-1)/5)+1)</f>
        <v>2</v>
      </c>
      <c r="S158" cm="1">
        <f t="array" ref="S158">INDEX($I$6:$I$68, INT((ROWS(S$6:S158)-1)/5)+1)</f>
        <v>2</v>
      </c>
      <c r="U158" s="12">
        <v>91.21</v>
      </c>
    </row>
    <row r="159" spans="14:22" x14ac:dyDescent="0.25">
      <c r="N159" s="2" t="str">
        <f t="shared" si="5"/>
        <v>NS ID4</v>
      </c>
      <c r="O159" cm="1">
        <f t="array" ref="O159">INDEX($F$6:$F$68, INT((ROWS(O$6:O159)-1)/5)+1)</f>
        <v>11</v>
      </c>
      <c r="P159" cm="1">
        <f t="array" ref="P159">INDEX($G$6:$G$68, INT((ROWS(P$6:P159)-1)/5)+1)</f>
        <v>2</v>
      </c>
      <c r="Q159">
        <f>MOD(ROWS(Q$6:Q159)-1,5)+1</f>
        <v>4</v>
      </c>
      <c r="R159" cm="1">
        <f t="array" ref="R159">INDEX($H$6:$H$68, INT((ROWS(R$6:R159)-1)/5)+1)</f>
        <v>2</v>
      </c>
      <c r="S159" cm="1">
        <f t="array" ref="S159">INDEX($I$6:$I$68, INT((ROWS(S$6:S159)-1)/5)+1)</f>
        <v>2</v>
      </c>
      <c r="U159" s="12">
        <v>86.01</v>
      </c>
    </row>
    <row r="160" spans="14:22" x14ac:dyDescent="0.25">
      <c r="N160" s="2" t="str">
        <f t="shared" si="5"/>
        <v>NS ID4</v>
      </c>
      <c r="O160" cm="1">
        <f t="array" ref="O160">INDEX($F$6:$F$68, INT((ROWS(O$6:O160)-1)/5)+1)</f>
        <v>11</v>
      </c>
      <c r="P160" cm="1">
        <f t="array" ref="P160">INDEX($G$6:$G$68, INT((ROWS(P$6:P160)-1)/5)+1)</f>
        <v>2</v>
      </c>
      <c r="Q160">
        <f>MOD(ROWS(Q$6:Q160)-1,5)+1</f>
        <v>5</v>
      </c>
      <c r="R160" cm="1">
        <f t="array" ref="R160">INDEX($H$6:$H$68, INT((ROWS(R$6:R160)-1)/5)+1)</f>
        <v>2</v>
      </c>
      <c r="S160" cm="1">
        <f t="array" ref="S160">INDEX($I$6:$I$68, INT((ROWS(S$6:S160)-1)/5)+1)</f>
        <v>2</v>
      </c>
      <c r="U160" s="12">
        <v>72.650000000000006</v>
      </c>
      <c r="V160">
        <f>(U160-U156)/U156</f>
        <v>-0.20331176664107897</v>
      </c>
    </row>
    <row r="161" spans="14:22" x14ac:dyDescent="0.25">
      <c r="N161" s="2" t="str">
        <f t="shared" si="5"/>
        <v>NS ID4</v>
      </c>
      <c r="O161" cm="1">
        <f t="array" ref="O161">INDEX($F$6:$F$68, INT((ROWS(O$6:O161)-1)/5)+1)</f>
        <v>11</v>
      </c>
      <c r="P161" cm="1">
        <f t="array" ref="P161">INDEX($G$6:$G$68, INT((ROWS(P$6:P161)-1)/5)+1)</f>
        <v>3</v>
      </c>
      <c r="Q161">
        <f>MOD(ROWS(Q$6:Q161)-1,5)+1</f>
        <v>1</v>
      </c>
      <c r="R161" cm="1">
        <f t="array" ref="R161">INDEX($H$6:$H$68, INT((ROWS(R$6:R161)-1)/5)+1)</f>
        <v>3</v>
      </c>
      <c r="S161" cm="1">
        <f t="array" ref="S161">INDEX($I$6:$I$68, INT((ROWS(S$6:S161)-1)/5)+1)</f>
        <v>2</v>
      </c>
      <c r="U161" s="12">
        <v>84.74</v>
      </c>
    </row>
    <row r="162" spans="14:22" x14ac:dyDescent="0.25">
      <c r="N162" s="2" t="str">
        <f t="shared" si="5"/>
        <v>NS ID4</v>
      </c>
      <c r="O162" cm="1">
        <f t="array" ref="O162">INDEX($F$6:$F$68, INT((ROWS(O$6:O162)-1)/5)+1)</f>
        <v>11</v>
      </c>
      <c r="P162" cm="1">
        <f t="array" ref="P162">INDEX($G$6:$G$68, INT((ROWS(P$6:P162)-1)/5)+1)</f>
        <v>3</v>
      </c>
      <c r="Q162">
        <f>MOD(ROWS(Q$6:Q162)-1,5)+1</f>
        <v>2</v>
      </c>
      <c r="R162" cm="1">
        <f t="array" ref="R162">INDEX($H$6:$H$68, INT((ROWS(R$6:R162)-1)/5)+1)</f>
        <v>3</v>
      </c>
      <c r="S162" cm="1">
        <f t="array" ref="S162">INDEX($I$6:$I$68, INT((ROWS(S$6:S162)-1)/5)+1)</f>
        <v>2</v>
      </c>
      <c r="U162" s="12">
        <v>67.510000000000005</v>
      </c>
    </row>
    <row r="163" spans="14:22" x14ac:dyDescent="0.25">
      <c r="N163" s="2" t="str">
        <f t="shared" si="5"/>
        <v>NS ID4</v>
      </c>
      <c r="O163" cm="1">
        <f t="array" ref="O163">INDEX($F$6:$F$68, INT((ROWS(O$6:O163)-1)/5)+1)</f>
        <v>11</v>
      </c>
      <c r="P163" cm="1">
        <f t="array" ref="P163">INDEX($G$6:$G$68, INT((ROWS(P$6:P163)-1)/5)+1)</f>
        <v>3</v>
      </c>
      <c r="Q163">
        <f>MOD(ROWS(Q$6:Q163)-1,5)+1</f>
        <v>3</v>
      </c>
      <c r="R163" cm="1">
        <f t="array" ref="R163">INDEX($H$6:$H$68, INT((ROWS(R$6:R163)-1)/5)+1)</f>
        <v>3</v>
      </c>
      <c r="S163" cm="1">
        <f t="array" ref="S163">INDEX($I$6:$I$68, INT((ROWS(S$6:S163)-1)/5)+1)</f>
        <v>2</v>
      </c>
      <c r="U163" s="12">
        <v>68.64</v>
      </c>
    </row>
    <row r="164" spans="14:22" x14ac:dyDescent="0.25">
      <c r="N164" s="2" t="str">
        <f t="shared" si="5"/>
        <v>NS ID4</v>
      </c>
      <c r="O164" cm="1">
        <f t="array" ref="O164">INDEX($F$6:$F$68, INT((ROWS(O$6:O164)-1)/5)+1)</f>
        <v>11</v>
      </c>
      <c r="P164" cm="1">
        <f t="array" ref="P164">INDEX($G$6:$G$68, INT((ROWS(P$6:P164)-1)/5)+1)</f>
        <v>3</v>
      </c>
      <c r="Q164">
        <f>MOD(ROWS(Q$6:Q164)-1,5)+1</f>
        <v>4</v>
      </c>
      <c r="R164" cm="1">
        <f t="array" ref="R164">INDEX($H$6:$H$68, INT((ROWS(R$6:R164)-1)/5)+1)</f>
        <v>3</v>
      </c>
      <c r="S164" cm="1">
        <f t="array" ref="S164">INDEX($I$6:$I$68, INT((ROWS(S$6:S164)-1)/5)+1)</f>
        <v>2</v>
      </c>
      <c r="U164" s="12">
        <v>75.62</v>
      </c>
    </row>
    <row r="165" spans="14:22" x14ac:dyDescent="0.25">
      <c r="N165" s="2" t="str">
        <f t="shared" si="5"/>
        <v>NS ID4</v>
      </c>
      <c r="O165" cm="1">
        <f t="array" ref="O165">INDEX($F$6:$F$68, INT((ROWS(O$6:O165)-1)/5)+1)</f>
        <v>11</v>
      </c>
      <c r="P165" cm="1">
        <f t="array" ref="P165">INDEX($G$6:$G$68, INT((ROWS(P$6:P165)-1)/5)+1)</f>
        <v>3</v>
      </c>
      <c r="Q165">
        <f>MOD(ROWS(Q$6:Q165)-1,5)+1</f>
        <v>5</v>
      </c>
      <c r="R165" cm="1">
        <f t="array" ref="R165">INDEX($H$6:$H$68, INT((ROWS(R$6:R165)-1)/5)+1)</f>
        <v>3</v>
      </c>
      <c r="S165" cm="1">
        <f t="array" ref="S165">INDEX($I$6:$I$68, INT((ROWS(S$6:S165)-1)/5)+1)</f>
        <v>2</v>
      </c>
      <c r="U165" s="12">
        <v>73.27</v>
      </c>
      <c r="V165">
        <f t="shared" ref="V165:V170" si="7">(U165-U161)/U161</f>
        <v>-0.13535520415388247</v>
      </c>
    </row>
    <row r="166" spans="14:22" x14ac:dyDescent="0.25">
      <c r="N166" s="2" t="str">
        <f t="shared" si="5"/>
        <v>NS ID4</v>
      </c>
      <c r="O166" cm="1">
        <f t="array" ref="O166">INDEX($F$6:$F$68, INT((ROWS(O$6:O166)-1)/5)+1)</f>
        <v>11</v>
      </c>
      <c r="P166" cm="1">
        <f t="array" ref="P166">INDEX($G$6:$G$68, INT((ROWS(P$6:P166)-1)/5)+1)</f>
        <v>1</v>
      </c>
      <c r="Q166">
        <f>MOD(ROWS(Q$6:Q166)-1,5)+1</f>
        <v>1</v>
      </c>
      <c r="R166" cm="1">
        <f t="array" ref="R166">INDEX($H$6:$H$68, INT((ROWS(R$6:R166)-1)/5)+1)</f>
        <v>1</v>
      </c>
      <c r="S166" cm="1">
        <f t="array" ref="S166">INDEX($I$6:$I$68, INT((ROWS(S$6:S166)-1)/5)+1)</f>
        <v>2</v>
      </c>
      <c r="U166" s="12">
        <v>58.74</v>
      </c>
    </row>
    <row r="167" spans="14:22" x14ac:dyDescent="0.25">
      <c r="N167" s="2" t="str">
        <f t="shared" si="5"/>
        <v>NS ID4</v>
      </c>
      <c r="O167" cm="1">
        <f t="array" ref="O167">INDEX($F$6:$F$68, INT((ROWS(O$6:O167)-1)/5)+1)</f>
        <v>11</v>
      </c>
      <c r="P167" cm="1">
        <f t="array" ref="P167">INDEX($G$6:$G$68, INT((ROWS(P$6:P167)-1)/5)+1)</f>
        <v>1</v>
      </c>
      <c r="Q167">
        <f>MOD(ROWS(Q$6:Q167)-1,5)+1</f>
        <v>2</v>
      </c>
      <c r="R167" cm="1">
        <f t="array" ref="R167">INDEX($H$6:$H$68, INT((ROWS(R$6:R167)-1)/5)+1)</f>
        <v>1</v>
      </c>
      <c r="S167" cm="1">
        <f t="array" ref="S167">INDEX($I$6:$I$68, INT((ROWS(S$6:S167)-1)/5)+1)</f>
        <v>2</v>
      </c>
      <c r="U167" s="12">
        <v>64.459999999999994</v>
      </c>
    </row>
    <row r="168" spans="14:22" x14ac:dyDescent="0.25">
      <c r="N168" s="2" t="str">
        <f t="shared" si="5"/>
        <v>NS ID4</v>
      </c>
      <c r="O168" cm="1">
        <f t="array" ref="O168">INDEX($F$6:$F$68, INT((ROWS(O$6:O168)-1)/5)+1)</f>
        <v>11</v>
      </c>
      <c r="P168" cm="1">
        <f t="array" ref="P168">INDEX($G$6:$G$68, INT((ROWS(P$6:P168)-1)/5)+1)</f>
        <v>1</v>
      </c>
      <c r="Q168">
        <f>MOD(ROWS(Q$6:Q168)-1,5)+1</f>
        <v>3</v>
      </c>
      <c r="R168" cm="1">
        <f t="array" ref="R168">INDEX($H$6:$H$68, INT((ROWS(R$6:R168)-1)/5)+1)</f>
        <v>1</v>
      </c>
      <c r="S168" cm="1">
        <f t="array" ref="S168">INDEX($I$6:$I$68, INT((ROWS(S$6:S168)-1)/5)+1)</f>
        <v>2</v>
      </c>
      <c r="U168" s="12">
        <v>59.31</v>
      </c>
    </row>
    <row r="169" spans="14:22" x14ac:dyDescent="0.25">
      <c r="N169" s="2" t="str">
        <f t="shared" si="5"/>
        <v>NS ID4</v>
      </c>
      <c r="O169" cm="1">
        <f t="array" ref="O169">INDEX($F$6:$F$68, INT((ROWS(O$6:O169)-1)/5)+1)</f>
        <v>11</v>
      </c>
      <c r="P169" cm="1">
        <f t="array" ref="P169">INDEX($G$6:$G$68, INT((ROWS(P$6:P169)-1)/5)+1)</f>
        <v>1</v>
      </c>
      <c r="Q169">
        <f>MOD(ROWS(Q$6:Q169)-1,5)+1</f>
        <v>4</v>
      </c>
      <c r="R169" cm="1">
        <f t="array" ref="R169">INDEX($H$6:$H$68, INT((ROWS(R$6:R169)-1)/5)+1)</f>
        <v>1</v>
      </c>
      <c r="S169" cm="1">
        <f t="array" ref="S169">INDEX($I$6:$I$68, INT((ROWS(S$6:S169)-1)/5)+1)</f>
        <v>2</v>
      </c>
      <c r="U169" s="12">
        <v>61.3</v>
      </c>
    </row>
    <row r="170" spans="14:22" x14ac:dyDescent="0.25">
      <c r="N170" s="2" t="str">
        <f t="shared" si="5"/>
        <v>NS ID4</v>
      </c>
      <c r="O170" cm="1">
        <f t="array" ref="O170">INDEX($F$6:$F$68, INT((ROWS(O$6:O170)-1)/5)+1)</f>
        <v>11</v>
      </c>
      <c r="P170" cm="1">
        <f t="array" ref="P170">INDEX($G$6:$G$68, INT((ROWS(P$6:P170)-1)/5)+1)</f>
        <v>1</v>
      </c>
      <c r="Q170">
        <f>MOD(ROWS(Q$6:Q170)-1,5)+1</f>
        <v>5</v>
      </c>
      <c r="R170" cm="1">
        <f t="array" ref="R170">INDEX($H$6:$H$68, INT((ROWS(R$6:R170)-1)/5)+1)</f>
        <v>1</v>
      </c>
      <c r="S170" cm="1">
        <f t="array" ref="S170">INDEX($I$6:$I$68, INT((ROWS(S$6:S170)-1)/5)+1)</f>
        <v>2</v>
      </c>
      <c r="U170" s="12">
        <v>61.91</v>
      </c>
      <c r="V170">
        <f t="shared" si="7"/>
        <v>5.3966632618317918E-2</v>
      </c>
    </row>
    <row r="171" spans="14:22" x14ac:dyDescent="0.25">
      <c r="N171" s="2" t="str">
        <f t="shared" si="5"/>
        <v>VK ID14</v>
      </c>
      <c r="O171" cm="1">
        <f t="array" ref="O171">INDEX($F$6:$F$68, INT((ROWS(O$6:O171)-1)/5)+1)</f>
        <v>12</v>
      </c>
      <c r="P171" cm="1">
        <f t="array" ref="P171">INDEX($G$6:$G$68, INT((ROWS(P$6:P171)-1)/5)+1)</f>
        <v>3</v>
      </c>
      <c r="Q171">
        <f>MOD(ROWS(Q$6:Q171)-1,5)+1</f>
        <v>1</v>
      </c>
      <c r="R171" cm="1">
        <f t="array" ref="R171">INDEX($H$6:$H$68, INT((ROWS(R$6:R171)-1)/5)+1)</f>
        <v>3</v>
      </c>
      <c r="S171" cm="1">
        <f t="array" ref="S171">INDEX($I$6:$I$68, INT((ROWS(S$6:S171)-1)/5)+1)</f>
        <v>2</v>
      </c>
      <c r="U171" s="12">
        <v>70.78</v>
      </c>
    </row>
    <row r="172" spans="14:22" x14ac:dyDescent="0.25">
      <c r="N172" s="2" t="str">
        <f t="shared" si="5"/>
        <v>VK ID14</v>
      </c>
      <c r="O172" cm="1">
        <f t="array" ref="O172">INDEX($F$6:$F$68, INT((ROWS(O$6:O172)-1)/5)+1)</f>
        <v>12</v>
      </c>
      <c r="P172" cm="1">
        <f t="array" ref="P172">INDEX($G$6:$G$68, INT((ROWS(P$6:P172)-1)/5)+1)</f>
        <v>3</v>
      </c>
      <c r="Q172">
        <f>MOD(ROWS(Q$6:Q172)-1,5)+1</f>
        <v>2</v>
      </c>
      <c r="R172" cm="1">
        <f t="array" ref="R172">INDEX($H$6:$H$68, INT((ROWS(R$6:R172)-1)/5)+1)</f>
        <v>3</v>
      </c>
      <c r="S172" cm="1">
        <f t="array" ref="S172">INDEX($I$6:$I$68, INT((ROWS(S$6:S172)-1)/5)+1)</f>
        <v>2</v>
      </c>
      <c r="U172" s="12">
        <v>65.680000000000007</v>
      </c>
    </row>
    <row r="173" spans="14:22" x14ac:dyDescent="0.25">
      <c r="N173" s="2" t="str">
        <f t="shared" si="5"/>
        <v>VK ID14</v>
      </c>
      <c r="O173" cm="1">
        <f t="array" ref="O173">INDEX($F$6:$F$68, INT((ROWS(O$6:O173)-1)/5)+1)</f>
        <v>12</v>
      </c>
      <c r="P173" cm="1">
        <f t="array" ref="P173">INDEX($G$6:$G$68, INT((ROWS(P$6:P173)-1)/5)+1)</f>
        <v>3</v>
      </c>
      <c r="Q173">
        <f>MOD(ROWS(Q$6:Q173)-1,5)+1</f>
        <v>3</v>
      </c>
      <c r="R173" cm="1">
        <f t="array" ref="R173">INDEX($H$6:$H$68, INT((ROWS(R$6:R173)-1)/5)+1)</f>
        <v>3</v>
      </c>
      <c r="S173" cm="1">
        <f t="array" ref="S173">INDEX($I$6:$I$68, INT((ROWS(S$6:S173)-1)/5)+1)</f>
        <v>2</v>
      </c>
      <c r="U173" s="12">
        <v>66.3</v>
      </c>
    </row>
    <row r="174" spans="14:22" x14ac:dyDescent="0.25">
      <c r="N174" s="2" t="str">
        <f t="shared" si="5"/>
        <v>VK ID14</v>
      </c>
      <c r="O174" cm="1">
        <f t="array" ref="O174">INDEX($F$6:$F$68, INT((ROWS(O$6:O174)-1)/5)+1)</f>
        <v>12</v>
      </c>
      <c r="P174" cm="1">
        <f t="array" ref="P174">INDEX($G$6:$G$68, INT((ROWS(P$6:P174)-1)/5)+1)</f>
        <v>3</v>
      </c>
      <c r="Q174">
        <f>MOD(ROWS(Q$6:Q174)-1,5)+1</f>
        <v>4</v>
      </c>
      <c r="R174" cm="1">
        <f t="array" ref="R174">INDEX($H$6:$H$68, INT((ROWS(R$6:R174)-1)/5)+1)</f>
        <v>3</v>
      </c>
      <c r="S174" cm="1">
        <f t="array" ref="S174">INDEX($I$6:$I$68, INT((ROWS(S$6:S174)-1)/5)+1)</f>
        <v>2</v>
      </c>
      <c r="U174" s="12">
        <v>72.59</v>
      </c>
    </row>
    <row r="175" spans="14:22" x14ac:dyDescent="0.25">
      <c r="N175" s="2" t="str">
        <f t="shared" si="5"/>
        <v>VK ID14</v>
      </c>
      <c r="O175" cm="1">
        <f t="array" ref="O175">INDEX($F$6:$F$68, INT((ROWS(O$6:O175)-1)/5)+1)</f>
        <v>12</v>
      </c>
      <c r="P175" cm="1">
        <f t="array" ref="P175">INDEX($G$6:$G$68, INT((ROWS(P$6:P175)-1)/5)+1)</f>
        <v>3</v>
      </c>
      <c r="Q175">
        <f>MOD(ROWS(Q$6:Q175)-1,5)+1</f>
        <v>5</v>
      </c>
      <c r="R175" cm="1">
        <f t="array" ref="R175">INDEX($H$6:$H$68, INT((ROWS(R$6:R175)-1)/5)+1)</f>
        <v>3</v>
      </c>
      <c r="S175" cm="1">
        <f t="array" ref="S175">INDEX($I$6:$I$68, INT((ROWS(S$6:S175)-1)/5)+1)</f>
        <v>2</v>
      </c>
      <c r="U175" s="12">
        <v>62.11</v>
      </c>
    </row>
    <row r="176" spans="14:22" x14ac:dyDescent="0.25">
      <c r="N176" s="2" t="str">
        <f t="shared" si="5"/>
        <v>VK ID14</v>
      </c>
      <c r="O176" cm="1">
        <f t="array" ref="O176">INDEX($F$6:$F$68, INT((ROWS(O$6:O176)-1)/5)+1)</f>
        <v>12</v>
      </c>
      <c r="P176" cm="1">
        <f t="array" ref="P176">INDEX($G$6:$G$68, INT((ROWS(P$6:P176)-1)/5)+1)</f>
        <v>1</v>
      </c>
      <c r="Q176">
        <f>MOD(ROWS(Q$6:Q176)-1,5)+1</f>
        <v>1</v>
      </c>
      <c r="R176" cm="1">
        <f t="array" ref="R176">INDEX($H$6:$H$68, INT((ROWS(R$6:R176)-1)/5)+1)</f>
        <v>1</v>
      </c>
      <c r="S176" cm="1">
        <f t="array" ref="S176">INDEX($I$6:$I$68, INT((ROWS(S$6:S176)-1)/5)+1)</f>
        <v>2</v>
      </c>
      <c r="U176" s="12">
        <v>54.88</v>
      </c>
    </row>
    <row r="177" spans="14:21" x14ac:dyDescent="0.25">
      <c r="N177" s="2" t="str">
        <f t="shared" si="5"/>
        <v>VK ID14</v>
      </c>
      <c r="O177" cm="1">
        <f t="array" ref="O177">INDEX($F$6:$F$68, INT((ROWS(O$6:O177)-1)/5)+1)</f>
        <v>12</v>
      </c>
      <c r="P177" cm="1">
        <f t="array" ref="P177">INDEX($G$6:$G$68, INT((ROWS(P$6:P177)-1)/5)+1)</f>
        <v>1</v>
      </c>
      <c r="Q177">
        <f>MOD(ROWS(Q$6:Q177)-1,5)+1</f>
        <v>2</v>
      </c>
      <c r="R177" cm="1">
        <f t="array" ref="R177">INDEX($H$6:$H$68, INT((ROWS(R$6:R177)-1)/5)+1)</f>
        <v>1</v>
      </c>
      <c r="S177" cm="1">
        <f t="array" ref="S177">INDEX($I$6:$I$68, INT((ROWS(S$6:S177)-1)/5)+1)</f>
        <v>2</v>
      </c>
      <c r="U177" s="12">
        <v>47.98</v>
      </c>
    </row>
    <row r="178" spans="14:21" x14ac:dyDescent="0.25">
      <c r="N178" s="2" t="str">
        <f t="shared" si="5"/>
        <v>VK ID14</v>
      </c>
      <c r="O178" cm="1">
        <f t="array" ref="O178">INDEX($F$6:$F$68, INT((ROWS(O$6:O178)-1)/5)+1)</f>
        <v>12</v>
      </c>
      <c r="P178" cm="1">
        <f t="array" ref="P178">INDEX($G$6:$G$68, INT((ROWS(P$6:P178)-1)/5)+1)</f>
        <v>1</v>
      </c>
      <c r="Q178">
        <f>MOD(ROWS(Q$6:Q178)-1,5)+1</f>
        <v>3</v>
      </c>
      <c r="R178" cm="1">
        <f t="array" ref="R178">INDEX($H$6:$H$68, INT((ROWS(R$6:R178)-1)/5)+1)</f>
        <v>1</v>
      </c>
      <c r="S178" cm="1">
        <f t="array" ref="S178">INDEX($I$6:$I$68, INT((ROWS(S$6:S178)-1)/5)+1)</f>
        <v>2</v>
      </c>
      <c r="U178" s="12">
        <v>49.79</v>
      </c>
    </row>
    <row r="179" spans="14:21" x14ac:dyDescent="0.25">
      <c r="N179" s="2" t="str">
        <f t="shared" si="5"/>
        <v>VK ID14</v>
      </c>
      <c r="O179" cm="1">
        <f t="array" ref="O179">INDEX($F$6:$F$68, INT((ROWS(O$6:O179)-1)/5)+1)</f>
        <v>12</v>
      </c>
      <c r="P179" cm="1">
        <f t="array" ref="P179">INDEX($G$6:$G$68, INT((ROWS(P$6:P179)-1)/5)+1)</f>
        <v>1</v>
      </c>
      <c r="Q179">
        <f>MOD(ROWS(Q$6:Q179)-1,5)+1</f>
        <v>4</v>
      </c>
      <c r="R179" cm="1">
        <f t="array" ref="R179">INDEX($H$6:$H$68, INT((ROWS(R$6:R179)-1)/5)+1)</f>
        <v>1</v>
      </c>
      <c r="S179" cm="1">
        <f t="array" ref="S179">INDEX($I$6:$I$68, INT((ROWS(S$6:S179)-1)/5)+1)</f>
        <v>2</v>
      </c>
      <c r="U179" s="12">
        <v>53.31</v>
      </c>
    </row>
    <row r="180" spans="14:21" x14ac:dyDescent="0.25">
      <c r="N180" s="2" t="str">
        <f t="shared" si="5"/>
        <v>VK ID14</v>
      </c>
      <c r="O180" cm="1">
        <f t="array" ref="O180">INDEX($F$6:$F$68, INT((ROWS(O$6:O180)-1)/5)+1)</f>
        <v>12</v>
      </c>
      <c r="P180" cm="1">
        <f t="array" ref="P180">INDEX($G$6:$G$68, INT((ROWS(P$6:P180)-1)/5)+1)</f>
        <v>1</v>
      </c>
      <c r="Q180">
        <f>MOD(ROWS(Q$6:Q180)-1,5)+1</f>
        <v>5</v>
      </c>
      <c r="R180" cm="1">
        <f t="array" ref="R180">INDEX($H$6:$H$68, INT((ROWS(R$6:R180)-1)/5)+1)</f>
        <v>1</v>
      </c>
      <c r="S180" cm="1">
        <f t="array" ref="S180">INDEX($I$6:$I$68, INT((ROWS(S$6:S180)-1)/5)+1)</f>
        <v>2</v>
      </c>
      <c r="U180" s="12">
        <v>47.59</v>
      </c>
    </row>
    <row r="181" spans="14:21" x14ac:dyDescent="0.25">
      <c r="N181" s="2" t="str">
        <f t="shared" si="5"/>
        <v>VK ID14</v>
      </c>
      <c r="O181" cm="1">
        <f t="array" ref="O181">INDEX($F$6:$F$68, INT((ROWS(O$6:O181)-1)/5)+1)</f>
        <v>12</v>
      </c>
      <c r="P181" cm="1">
        <f t="array" ref="P181">INDEX($G$6:$G$68, INT((ROWS(P$6:P181)-1)/5)+1)</f>
        <v>2</v>
      </c>
      <c r="Q181">
        <f>MOD(ROWS(Q$6:Q181)-1,5)+1</f>
        <v>1</v>
      </c>
      <c r="R181" cm="1">
        <f t="array" ref="R181">INDEX($H$6:$H$68, INT((ROWS(R$6:R181)-1)/5)+1)</f>
        <v>2</v>
      </c>
      <c r="S181" cm="1">
        <f t="array" ref="S181">INDEX($I$6:$I$68, INT((ROWS(S$6:S181)-1)/5)+1)</f>
        <v>2</v>
      </c>
      <c r="U181" s="12">
        <v>72.45</v>
      </c>
    </row>
    <row r="182" spans="14:21" x14ac:dyDescent="0.25">
      <c r="N182" s="2" t="str">
        <f t="shared" si="5"/>
        <v>VK ID14</v>
      </c>
      <c r="O182" cm="1">
        <f t="array" ref="O182">INDEX($F$6:$F$68, INT((ROWS(O$6:O182)-1)/5)+1)</f>
        <v>12</v>
      </c>
      <c r="P182" cm="1">
        <f t="array" ref="P182">INDEX($G$6:$G$68, INT((ROWS(P$6:P182)-1)/5)+1)</f>
        <v>2</v>
      </c>
      <c r="Q182">
        <f>MOD(ROWS(Q$6:Q182)-1,5)+1</f>
        <v>2</v>
      </c>
      <c r="R182" cm="1">
        <f t="array" ref="R182">INDEX($H$6:$H$68, INT((ROWS(R$6:R182)-1)/5)+1)</f>
        <v>2</v>
      </c>
      <c r="S182" cm="1">
        <f t="array" ref="S182">INDEX($I$6:$I$68, INT((ROWS(S$6:S182)-1)/5)+1)</f>
        <v>2</v>
      </c>
      <c r="U182" s="12">
        <v>78.7</v>
      </c>
    </row>
    <row r="183" spans="14:21" x14ac:dyDescent="0.25">
      <c r="N183" s="2" t="str">
        <f t="shared" si="5"/>
        <v>VK ID14</v>
      </c>
      <c r="O183" cm="1">
        <f t="array" ref="O183">INDEX($F$6:$F$68, INT((ROWS(O$6:O183)-1)/5)+1)</f>
        <v>12</v>
      </c>
      <c r="P183" cm="1">
        <f t="array" ref="P183">INDEX($G$6:$G$68, INT((ROWS(P$6:P183)-1)/5)+1)</f>
        <v>2</v>
      </c>
      <c r="Q183">
        <f>MOD(ROWS(Q$6:Q183)-1,5)+1</f>
        <v>3</v>
      </c>
      <c r="R183" cm="1">
        <f t="array" ref="R183">INDEX($H$6:$H$68, INT((ROWS(R$6:R183)-1)/5)+1)</f>
        <v>2</v>
      </c>
      <c r="S183" cm="1">
        <f t="array" ref="S183">INDEX($I$6:$I$68, INT((ROWS(S$6:S183)-1)/5)+1)</f>
        <v>2</v>
      </c>
      <c r="U183" s="12">
        <v>66.87</v>
      </c>
    </row>
    <row r="184" spans="14:21" x14ac:dyDescent="0.25">
      <c r="N184" s="2" t="str">
        <f t="shared" si="5"/>
        <v>VK ID14</v>
      </c>
      <c r="O184" cm="1">
        <f t="array" ref="O184">INDEX($F$6:$F$68, INT((ROWS(O$6:O184)-1)/5)+1)</f>
        <v>12</v>
      </c>
      <c r="P184" cm="1">
        <f t="array" ref="P184">INDEX($G$6:$G$68, INT((ROWS(P$6:P184)-1)/5)+1)</f>
        <v>2</v>
      </c>
      <c r="Q184">
        <f>MOD(ROWS(Q$6:Q184)-1,5)+1</f>
        <v>4</v>
      </c>
      <c r="R184" cm="1">
        <f t="array" ref="R184">INDEX($H$6:$H$68, INT((ROWS(R$6:R184)-1)/5)+1)</f>
        <v>2</v>
      </c>
      <c r="S184" cm="1">
        <f t="array" ref="S184">INDEX($I$6:$I$68, INT((ROWS(S$6:S184)-1)/5)+1)</f>
        <v>2</v>
      </c>
      <c r="U184" s="12">
        <v>81.459999999999994</v>
      </c>
    </row>
    <row r="185" spans="14:21" x14ac:dyDescent="0.25">
      <c r="N185" s="2" t="str">
        <f t="shared" si="5"/>
        <v>VK ID14</v>
      </c>
      <c r="O185" cm="1">
        <f t="array" ref="O185">INDEX($F$6:$F$68, INT((ROWS(O$6:O185)-1)/5)+1)</f>
        <v>12</v>
      </c>
      <c r="P185" cm="1">
        <f t="array" ref="P185">INDEX($G$6:$G$68, INT((ROWS(P$6:P185)-1)/5)+1)</f>
        <v>2</v>
      </c>
      <c r="Q185">
        <f>MOD(ROWS(Q$6:Q185)-1,5)+1</f>
        <v>5</v>
      </c>
      <c r="R185" cm="1">
        <f t="array" ref="R185">INDEX($H$6:$H$68, INT((ROWS(R$6:R185)-1)/5)+1)</f>
        <v>2</v>
      </c>
      <c r="S185" cm="1">
        <f t="array" ref="S185">INDEX($I$6:$I$68, INT((ROWS(S$6:S185)-1)/5)+1)</f>
        <v>2</v>
      </c>
      <c r="U185" s="12">
        <v>64.77</v>
      </c>
    </row>
    <row r="186" spans="14:21" x14ac:dyDescent="0.25">
      <c r="N186" s="2" t="str">
        <f t="shared" si="5"/>
        <v>AuL ID10</v>
      </c>
      <c r="O186" cm="1">
        <f t="array" ref="O186">INDEX($F$6:$F$68, INT((ROWS(O$6:O186)-1)/5)+1)</f>
        <v>13</v>
      </c>
      <c r="P186" cm="1">
        <f t="array" ref="P186">INDEX($G$6:$G$68, INT((ROWS(P$6:P186)-1)/5)+1)</f>
        <v>2</v>
      </c>
      <c r="Q186">
        <f>MOD(ROWS(Q$6:Q186)-1,5)+1</f>
        <v>1</v>
      </c>
      <c r="R186" cm="1">
        <f t="array" ref="R186">INDEX($H$6:$H$68, INT((ROWS(R$6:R186)-1)/5)+1)</f>
        <v>1</v>
      </c>
      <c r="S186" cm="1">
        <f t="array" ref="S186">INDEX($I$6:$I$68, INT((ROWS(S$6:S186)-1)/5)+1)</f>
        <v>2</v>
      </c>
      <c r="U186" s="12">
        <v>82.2</v>
      </c>
    </row>
    <row r="187" spans="14:21" x14ac:dyDescent="0.25">
      <c r="N187" s="2" t="str">
        <f t="shared" si="5"/>
        <v>AuL ID10</v>
      </c>
      <c r="O187" cm="1">
        <f t="array" ref="O187">INDEX($F$6:$F$68, INT((ROWS(O$6:O187)-1)/5)+1)</f>
        <v>13</v>
      </c>
      <c r="P187" cm="1">
        <f t="array" ref="P187">INDEX($G$6:$G$68, INT((ROWS(P$6:P187)-1)/5)+1)</f>
        <v>2</v>
      </c>
      <c r="Q187">
        <f>MOD(ROWS(Q$6:Q187)-1,5)+1</f>
        <v>2</v>
      </c>
      <c r="R187" cm="1">
        <f t="array" ref="R187">INDEX($H$6:$H$68, INT((ROWS(R$6:R187)-1)/5)+1)</f>
        <v>1</v>
      </c>
      <c r="S187" cm="1">
        <f t="array" ref="S187">INDEX($I$6:$I$68, INT((ROWS(S$6:S187)-1)/5)+1)</f>
        <v>2</v>
      </c>
      <c r="U187" s="12">
        <v>76.709999999999994</v>
      </c>
    </row>
    <row r="188" spans="14:21" x14ac:dyDescent="0.25">
      <c r="N188" s="2" t="str">
        <f t="shared" si="5"/>
        <v>AuL ID10</v>
      </c>
      <c r="O188" cm="1">
        <f t="array" ref="O188">INDEX($F$6:$F$68, INT((ROWS(O$6:O188)-1)/5)+1)</f>
        <v>13</v>
      </c>
      <c r="P188" cm="1">
        <f t="array" ref="P188">INDEX($G$6:$G$68, INT((ROWS(P$6:P188)-1)/5)+1)</f>
        <v>2</v>
      </c>
      <c r="Q188">
        <f>MOD(ROWS(Q$6:Q188)-1,5)+1</f>
        <v>3</v>
      </c>
      <c r="R188" cm="1">
        <f t="array" ref="R188">INDEX($H$6:$H$68, INT((ROWS(R$6:R188)-1)/5)+1)</f>
        <v>1</v>
      </c>
      <c r="S188" cm="1">
        <f t="array" ref="S188">INDEX($I$6:$I$68, INT((ROWS(S$6:S188)-1)/5)+1)</f>
        <v>2</v>
      </c>
      <c r="U188" s="12">
        <v>76.2</v>
      </c>
    </row>
    <row r="189" spans="14:21" x14ac:dyDescent="0.25">
      <c r="N189" s="2" t="str">
        <f t="shared" si="5"/>
        <v>AuL ID10</v>
      </c>
      <c r="O189" cm="1">
        <f t="array" ref="O189">INDEX($F$6:$F$68, INT((ROWS(O$6:O189)-1)/5)+1)</f>
        <v>13</v>
      </c>
      <c r="P189" cm="1">
        <f t="array" ref="P189">INDEX($G$6:$G$68, INT((ROWS(P$6:P189)-1)/5)+1)</f>
        <v>2</v>
      </c>
      <c r="Q189">
        <f>MOD(ROWS(Q$6:Q189)-1,5)+1</f>
        <v>4</v>
      </c>
      <c r="R189" cm="1">
        <f t="array" ref="R189">INDEX($H$6:$H$68, INT((ROWS(R$6:R189)-1)/5)+1)</f>
        <v>1</v>
      </c>
      <c r="S189" cm="1">
        <f t="array" ref="S189">INDEX($I$6:$I$68, INT((ROWS(S$6:S189)-1)/5)+1)</f>
        <v>2</v>
      </c>
      <c r="U189" s="12">
        <v>80.680000000000007</v>
      </c>
    </row>
    <row r="190" spans="14:21" x14ac:dyDescent="0.25">
      <c r="N190" s="2" t="str">
        <f t="shared" si="5"/>
        <v>AuL ID10</v>
      </c>
      <c r="O190" cm="1">
        <f t="array" ref="O190">INDEX($F$6:$F$68, INT((ROWS(O$6:O190)-1)/5)+1)</f>
        <v>13</v>
      </c>
      <c r="P190" cm="1">
        <f t="array" ref="P190">INDEX($G$6:$G$68, INT((ROWS(P$6:P190)-1)/5)+1)</f>
        <v>2</v>
      </c>
      <c r="Q190">
        <f>MOD(ROWS(Q$6:Q190)-1,5)+1</f>
        <v>5</v>
      </c>
      <c r="R190" cm="1">
        <f t="array" ref="R190">INDEX($H$6:$H$68, INT((ROWS(R$6:R190)-1)/5)+1)</f>
        <v>1</v>
      </c>
      <c r="S190" cm="1">
        <f t="array" ref="S190">INDEX($I$6:$I$68, INT((ROWS(S$6:S190)-1)/5)+1)</f>
        <v>2</v>
      </c>
      <c r="U190" s="12">
        <v>73.239999999999995</v>
      </c>
    </row>
    <row r="191" spans="14:21" x14ac:dyDescent="0.25">
      <c r="N191" s="2" t="str">
        <f t="shared" si="5"/>
        <v>AuL ID10</v>
      </c>
      <c r="O191" cm="1">
        <f t="array" ref="O191">INDEX($F$6:$F$68, INT((ROWS(O$6:O191)-1)/5)+1)</f>
        <v>13</v>
      </c>
      <c r="P191" cm="1">
        <f t="array" ref="P191">INDEX($G$6:$G$68, INT((ROWS(P$6:P191)-1)/5)+1)</f>
        <v>3</v>
      </c>
      <c r="Q191">
        <f>MOD(ROWS(Q$6:Q191)-1,5)+1</f>
        <v>1</v>
      </c>
      <c r="R191" cm="1">
        <f t="array" ref="R191">INDEX($H$6:$H$68, INT((ROWS(R$6:R191)-1)/5)+1)</f>
        <v>2</v>
      </c>
      <c r="S191" cm="1">
        <f t="array" ref="S191">INDEX($I$6:$I$68, INT((ROWS(S$6:S191)-1)/5)+1)</f>
        <v>2</v>
      </c>
      <c r="U191" s="12">
        <v>88.99</v>
      </c>
    </row>
    <row r="192" spans="14:21" x14ac:dyDescent="0.25">
      <c r="N192" s="2" t="str">
        <f t="shared" si="5"/>
        <v>AuL ID10</v>
      </c>
      <c r="O192" cm="1">
        <f t="array" ref="O192">INDEX($F$6:$F$68, INT((ROWS(O$6:O192)-1)/5)+1)</f>
        <v>13</v>
      </c>
      <c r="P192" cm="1">
        <f t="array" ref="P192">INDEX($G$6:$G$68, INT((ROWS(P$6:P192)-1)/5)+1)</f>
        <v>3</v>
      </c>
      <c r="Q192">
        <f>MOD(ROWS(Q$6:Q192)-1,5)+1</f>
        <v>2</v>
      </c>
      <c r="R192" cm="1">
        <f t="array" ref="R192">INDEX($H$6:$H$68, INT((ROWS(R$6:R192)-1)/5)+1)</f>
        <v>2</v>
      </c>
      <c r="S192" cm="1">
        <f t="array" ref="S192">INDEX($I$6:$I$68, INT((ROWS(S$6:S192)-1)/5)+1)</f>
        <v>2</v>
      </c>
      <c r="U192" s="12">
        <v>74.099999999999994</v>
      </c>
    </row>
    <row r="193" spans="14:21" x14ac:dyDescent="0.25">
      <c r="N193" s="2" t="str">
        <f t="shared" si="5"/>
        <v>AuL ID10</v>
      </c>
      <c r="O193" cm="1">
        <f t="array" ref="O193">INDEX($F$6:$F$68, INT((ROWS(O$6:O193)-1)/5)+1)</f>
        <v>13</v>
      </c>
      <c r="P193" cm="1">
        <f t="array" ref="P193">INDEX($G$6:$G$68, INT((ROWS(P$6:P193)-1)/5)+1)</f>
        <v>3</v>
      </c>
      <c r="Q193">
        <f>MOD(ROWS(Q$6:Q193)-1,5)+1</f>
        <v>3</v>
      </c>
      <c r="R193" cm="1">
        <f t="array" ref="R193">INDEX($H$6:$H$68, INT((ROWS(R$6:R193)-1)/5)+1)</f>
        <v>2</v>
      </c>
      <c r="S193" cm="1">
        <f t="array" ref="S193">INDEX($I$6:$I$68, INT((ROWS(S$6:S193)-1)/5)+1)</f>
        <v>2</v>
      </c>
      <c r="U193" s="12">
        <v>85.46</v>
      </c>
    </row>
    <row r="194" spans="14:21" x14ac:dyDescent="0.25">
      <c r="N194" s="2" t="str">
        <f t="shared" si="5"/>
        <v>AuL ID10</v>
      </c>
      <c r="O194" cm="1">
        <f t="array" ref="O194">INDEX($F$6:$F$68, INT((ROWS(O$6:O194)-1)/5)+1)</f>
        <v>13</v>
      </c>
      <c r="P194" cm="1">
        <f t="array" ref="P194">INDEX($G$6:$G$68, INT((ROWS(P$6:P194)-1)/5)+1)</f>
        <v>3</v>
      </c>
      <c r="Q194">
        <f>MOD(ROWS(Q$6:Q194)-1,5)+1</f>
        <v>4</v>
      </c>
      <c r="R194" cm="1">
        <f t="array" ref="R194">INDEX($H$6:$H$68, INT((ROWS(R$6:R194)-1)/5)+1)</f>
        <v>2</v>
      </c>
      <c r="S194" cm="1">
        <f t="array" ref="S194">INDEX($I$6:$I$68, INT((ROWS(S$6:S194)-1)/5)+1)</f>
        <v>2</v>
      </c>
      <c r="U194" s="12">
        <v>83.88</v>
      </c>
    </row>
    <row r="195" spans="14:21" x14ac:dyDescent="0.25">
      <c r="N195" s="2" t="str">
        <f t="shared" si="5"/>
        <v>AuL ID10</v>
      </c>
      <c r="O195" cm="1">
        <f t="array" ref="O195">INDEX($F$6:$F$68, INT((ROWS(O$6:O195)-1)/5)+1)</f>
        <v>13</v>
      </c>
      <c r="P195" cm="1">
        <f t="array" ref="P195">INDEX($G$6:$G$68, INT((ROWS(P$6:P195)-1)/5)+1)</f>
        <v>3</v>
      </c>
      <c r="Q195">
        <f>MOD(ROWS(Q$6:Q195)-1,5)+1</f>
        <v>5</v>
      </c>
      <c r="R195" cm="1">
        <f t="array" ref="R195">INDEX($H$6:$H$68, INT((ROWS(R$6:R195)-1)/5)+1)</f>
        <v>2</v>
      </c>
      <c r="S195" cm="1">
        <f t="array" ref="S195">INDEX($I$6:$I$68, INT((ROWS(S$6:S195)-1)/5)+1)</f>
        <v>2</v>
      </c>
      <c r="U195" s="12">
        <v>70.739999999999995</v>
      </c>
    </row>
    <row r="196" spans="14:21" x14ac:dyDescent="0.25">
      <c r="N196" s="2" t="str">
        <f t="shared" si="5"/>
        <v>AuL ID10</v>
      </c>
      <c r="O196" cm="1">
        <f t="array" ref="O196">INDEX($F$6:$F$68, INT((ROWS(O$6:O196)-1)/5)+1)</f>
        <v>13</v>
      </c>
      <c r="P196" cm="1">
        <f t="array" ref="P196">INDEX($G$6:$G$68, INT((ROWS(P$6:P196)-1)/5)+1)</f>
        <v>1</v>
      </c>
      <c r="Q196">
        <f>MOD(ROWS(Q$6:Q196)-1,5)+1</f>
        <v>1</v>
      </c>
      <c r="R196" cm="1">
        <f t="array" ref="R196">INDEX($H$6:$H$68, INT((ROWS(R$6:R196)-1)/5)+1)</f>
        <v>3</v>
      </c>
      <c r="S196" cm="1">
        <f t="array" ref="S196">INDEX($I$6:$I$68, INT((ROWS(S$6:S196)-1)/5)+1)</f>
        <v>2</v>
      </c>
      <c r="U196" s="12">
        <v>70.84</v>
      </c>
    </row>
    <row r="197" spans="14:21" x14ac:dyDescent="0.25">
      <c r="N197" s="2" t="str">
        <f t="shared" si="5"/>
        <v>AuL ID10</v>
      </c>
      <c r="O197" cm="1">
        <f t="array" ref="O197">INDEX($F$6:$F$68, INT((ROWS(O$6:O197)-1)/5)+1)</f>
        <v>13</v>
      </c>
      <c r="P197" cm="1">
        <f t="array" ref="P197">INDEX($G$6:$G$68, INT((ROWS(P$6:P197)-1)/5)+1)</f>
        <v>1</v>
      </c>
      <c r="Q197">
        <f>MOD(ROWS(Q$6:Q197)-1,5)+1</f>
        <v>2</v>
      </c>
      <c r="R197" cm="1">
        <f t="array" ref="R197">INDEX($H$6:$H$68, INT((ROWS(R$6:R197)-1)/5)+1)</f>
        <v>3</v>
      </c>
      <c r="S197" cm="1">
        <f t="array" ref="S197">INDEX($I$6:$I$68, INT((ROWS(S$6:S197)-1)/5)+1)</f>
        <v>2</v>
      </c>
      <c r="U197" s="12">
        <v>57.39</v>
      </c>
    </row>
    <row r="198" spans="14:21" x14ac:dyDescent="0.25">
      <c r="N198" s="2" t="str">
        <f t="shared" si="5"/>
        <v>AuL ID10</v>
      </c>
      <c r="O198" cm="1">
        <f t="array" ref="O198">INDEX($F$6:$F$68, INT((ROWS(O$6:O198)-1)/5)+1)</f>
        <v>13</v>
      </c>
      <c r="P198" cm="1">
        <f t="array" ref="P198">INDEX($G$6:$G$68, INT((ROWS(P$6:P198)-1)/5)+1)</f>
        <v>1</v>
      </c>
      <c r="Q198">
        <f>MOD(ROWS(Q$6:Q198)-1,5)+1</f>
        <v>3</v>
      </c>
      <c r="R198" cm="1">
        <f t="array" ref="R198">INDEX($H$6:$H$68, INT((ROWS(R$6:R198)-1)/5)+1)</f>
        <v>3</v>
      </c>
      <c r="S198" cm="1">
        <f t="array" ref="S198">INDEX($I$6:$I$68, INT((ROWS(S$6:S198)-1)/5)+1)</f>
        <v>2</v>
      </c>
      <c r="U198" s="12">
        <v>56.09</v>
      </c>
    </row>
    <row r="199" spans="14:21" x14ac:dyDescent="0.25">
      <c r="N199" s="2" t="str">
        <f t="shared" ref="N199:N262" si="8">INDEX($B$6:$B$26, MATCH(O199, $A$6:$A$26, 0))</f>
        <v>AuL ID10</v>
      </c>
      <c r="O199" cm="1">
        <f t="array" ref="O199">INDEX($F$6:$F$68, INT((ROWS(O$6:O199)-1)/5)+1)</f>
        <v>13</v>
      </c>
      <c r="P199" cm="1">
        <f t="array" ref="P199">INDEX($G$6:$G$68, INT((ROWS(P$6:P199)-1)/5)+1)</f>
        <v>1</v>
      </c>
      <c r="Q199">
        <f>MOD(ROWS(Q$6:Q199)-1,5)+1</f>
        <v>4</v>
      </c>
      <c r="R199" cm="1">
        <f t="array" ref="R199">INDEX($H$6:$H$68, INT((ROWS(R$6:R199)-1)/5)+1)</f>
        <v>3</v>
      </c>
      <c r="S199" cm="1">
        <f t="array" ref="S199">INDEX($I$6:$I$68, INT((ROWS(S$6:S199)-1)/5)+1)</f>
        <v>2</v>
      </c>
      <c r="U199" s="12">
        <v>52.68</v>
      </c>
    </row>
    <row r="200" spans="14:21" x14ac:dyDescent="0.25">
      <c r="N200" s="2" t="str">
        <f t="shared" si="8"/>
        <v>AuL ID10</v>
      </c>
      <c r="O200" cm="1">
        <f t="array" ref="O200">INDEX($F$6:$F$68, INT((ROWS(O$6:O200)-1)/5)+1)</f>
        <v>13</v>
      </c>
      <c r="P200" cm="1">
        <f t="array" ref="P200">INDEX($G$6:$G$68, INT((ROWS(P$6:P200)-1)/5)+1)</f>
        <v>1</v>
      </c>
      <c r="Q200">
        <f>MOD(ROWS(Q$6:Q200)-1,5)+1</f>
        <v>5</v>
      </c>
      <c r="R200" cm="1">
        <f t="array" ref="R200">INDEX($H$6:$H$68, INT((ROWS(R$6:R200)-1)/5)+1)</f>
        <v>3</v>
      </c>
      <c r="S200" cm="1">
        <f t="array" ref="S200">INDEX($I$6:$I$68, INT((ROWS(S$6:S200)-1)/5)+1)</f>
        <v>2</v>
      </c>
      <c r="U200" s="12">
        <v>51.96</v>
      </c>
    </row>
    <row r="201" spans="14:21" x14ac:dyDescent="0.25">
      <c r="N201" s="2" t="str">
        <f t="shared" si="8"/>
        <v>BS ID12</v>
      </c>
      <c r="O201" cm="1">
        <f t="array" ref="O201">INDEX($F$6:$F$68, INT((ROWS(O$6:O201)-1)/5)+1)</f>
        <v>14</v>
      </c>
      <c r="P201" cm="1">
        <f t="array" ref="P201">INDEX($G$6:$G$68, INT((ROWS(P$6:P201)-1)/5)+1)</f>
        <v>3</v>
      </c>
      <c r="Q201">
        <f>MOD(ROWS(Q$6:Q201)-1,5)+1</f>
        <v>1</v>
      </c>
      <c r="R201" cm="1">
        <f t="array" ref="R201">INDEX($H$6:$H$68, INT((ROWS(R$6:R201)-1)/5)+1)</f>
        <v>2</v>
      </c>
      <c r="S201" cm="1">
        <f t="array" ref="S201">INDEX($I$6:$I$68, INT((ROWS(S$6:S201)-1)/5)+1)</f>
        <v>2</v>
      </c>
      <c r="U201" s="12">
        <v>75.06</v>
      </c>
    </row>
    <row r="202" spans="14:21" x14ac:dyDescent="0.25">
      <c r="N202" s="2" t="str">
        <f t="shared" si="8"/>
        <v>BS ID12</v>
      </c>
      <c r="O202" cm="1">
        <f t="array" ref="O202">INDEX($F$6:$F$68, INT((ROWS(O$6:O202)-1)/5)+1)</f>
        <v>14</v>
      </c>
      <c r="P202" cm="1">
        <f t="array" ref="P202">INDEX($G$6:$G$68, INT((ROWS(P$6:P202)-1)/5)+1)</f>
        <v>3</v>
      </c>
      <c r="Q202">
        <f>MOD(ROWS(Q$6:Q202)-1,5)+1</f>
        <v>2</v>
      </c>
      <c r="R202" cm="1">
        <f t="array" ref="R202">INDEX($H$6:$H$68, INT((ROWS(R$6:R202)-1)/5)+1)</f>
        <v>2</v>
      </c>
      <c r="S202" cm="1">
        <f t="array" ref="S202">INDEX($I$6:$I$68, INT((ROWS(S$6:S202)-1)/5)+1)</f>
        <v>2</v>
      </c>
      <c r="U202" s="12">
        <v>76.69</v>
      </c>
    </row>
    <row r="203" spans="14:21" x14ac:dyDescent="0.25">
      <c r="N203" s="2" t="str">
        <f t="shared" si="8"/>
        <v>BS ID12</v>
      </c>
      <c r="O203" cm="1">
        <f t="array" ref="O203">INDEX($F$6:$F$68, INT((ROWS(O$6:O203)-1)/5)+1)</f>
        <v>14</v>
      </c>
      <c r="P203" cm="1">
        <f t="array" ref="P203">INDEX($G$6:$G$68, INT((ROWS(P$6:P203)-1)/5)+1)</f>
        <v>3</v>
      </c>
      <c r="Q203">
        <f>MOD(ROWS(Q$6:Q203)-1,5)+1</f>
        <v>3</v>
      </c>
      <c r="R203" cm="1">
        <f t="array" ref="R203">INDEX($H$6:$H$68, INT((ROWS(R$6:R203)-1)/5)+1)</f>
        <v>2</v>
      </c>
      <c r="S203" cm="1">
        <f t="array" ref="S203">INDEX($I$6:$I$68, INT((ROWS(S$6:S203)-1)/5)+1)</f>
        <v>2</v>
      </c>
      <c r="U203" s="12">
        <v>68.03</v>
      </c>
    </row>
    <row r="204" spans="14:21" x14ac:dyDescent="0.25">
      <c r="N204" s="2" t="str">
        <f t="shared" si="8"/>
        <v>BS ID12</v>
      </c>
      <c r="O204" cm="1">
        <f t="array" ref="O204">INDEX($F$6:$F$68, INT((ROWS(O$6:O204)-1)/5)+1)</f>
        <v>14</v>
      </c>
      <c r="P204" cm="1">
        <f t="array" ref="P204">INDEX($G$6:$G$68, INT((ROWS(P$6:P204)-1)/5)+1)</f>
        <v>3</v>
      </c>
      <c r="Q204">
        <f>MOD(ROWS(Q$6:Q204)-1,5)+1</f>
        <v>4</v>
      </c>
      <c r="R204" cm="1">
        <f t="array" ref="R204">INDEX($H$6:$H$68, INT((ROWS(R$6:R204)-1)/5)+1)</f>
        <v>2</v>
      </c>
      <c r="S204" cm="1">
        <f t="array" ref="S204">INDEX($I$6:$I$68, INT((ROWS(S$6:S204)-1)/5)+1)</f>
        <v>2</v>
      </c>
      <c r="U204" s="12">
        <v>65.16</v>
      </c>
    </row>
    <row r="205" spans="14:21" x14ac:dyDescent="0.25">
      <c r="N205" s="2" t="str">
        <f t="shared" si="8"/>
        <v>BS ID12</v>
      </c>
      <c r="O205" cm="1">
        <f t="array" ref="O205">INDEX($F$6:$F$68, INT((ROWS(O$6:O205)-1)/5)+1)</f>
        <v>14</v>
      </c>
      <c r="P205" cm="1">
        <f t="array" ref="P205">INDEX($G$6:$G$68, INT((ROWS(P$6:P205)-1)/5)+1)</f>
        <v>3</v>
      </c>
      <c r="Q205">
        <f>MOD(ROWS(Q$6:Q205)-1,5)+1</f>
        <v>5</v>
      </c>
      <c r="R205" cm="1">
        <f t="array" ref="R205">INDEX($H$6:$H$68, INT((ROWS(R$6:R205)-1)/5)+1)</f>
        <v>2</v>
      </c>
      <c r="S205" cm="1">
        <f t="array" ref="S205">INDEX($I$6:$I$68, INT((ROWS(S$6:S205)-1)/5)+1)</f>
        <v>2</v>
      </c>
      <c r="U205" s="12">
        <v>73.349999999999994</v>
      </c>
    </row>
    <row r="206" spans="14:21" x14ac:dyDescent="0.25">
      <c r="N206" s="2" t="str">
        <f t="shared" si="8"/>
        <v>BS ID12</v>
      </c>
      <c r="O206" cm="1">
        <f t="array" ref="O206">INDEX($F$6:$F$68, INT((ROWS(O$6:O206)-1)/5)+1)</f>
        <v>14</v>
      </c>
      <c r="P206" cm="1">
        <f t="array" ref="P206">INDEX($G$6:$G$68, INT((ROWS(P$6:P206)-1)/5)+1)</f>
        <v>1</v>
      </c>
      <c r="Q206">
        <f>MOD(ROWS(Q$6:Q206)-1,5)+1</f>
        <v>1</v>
      </c>
      <c r="R206" cm="1">
        <f t="array" ref="R206">INDEX($H$6:$H$68, INT((ROWS(R$6:R206)-1)/5)+1)</f>
        <v>3</v>
      </c>
      <c r="S206" cm="1">
        <f t="array" ref="S206">INDEX($I$6:$I$68, INT((ROWS(S$6:S206)-1)/5)+1)</f>
        <v>2</v>
      </c>
      <c r="U206" s="12">
        <v>50.14</v>
      </c>
    </row>
    <row r="207" spans="14:21" x14ac:dyDescent="0.25">
      <c r="N207" s="2" t="str">
        <f t="shared" si="8"/>
        <v>BS ID12</v>
      </c>
      <c r="O207" cm="1">
        <f t="array" ref="O207">INDEX($F$6:$F$68, INT((ROWS(O$6:O207)-1)/5)+1)</f>
        <v>14</v>
      </c>
      <c r="P207" cm="1">
        <f t="array" ref="P207">INDEX($G$6:$G$68, INT((ROWS(P$6:P207)-1)/5)+1)</f>
        <v>1</v>
      </c>
      <c r="Q207">
        <f>MOD(ROWS(Q$6:Q207)-1,5)+1</f>
        <v>2</v>
      </c>
      <c r="R207" cm="1">
        <f t="array" ref="R207">INDEX($H$6:$H$68, INT((ROWS(R$6:R207)-1)/5)+1)</f>
        <v>3</v>
      </c>
      <c r="S207" cm="1">
        <f t="array" ref="S207">INDEX($I$6:$I$68, INT((ROWS(S$6:S207)-1)/5)+1)</f>
        <v>2</v>
      </c>
      <c r="U207" s="12">
        <v>49.65</v>
      </c>
    </row>
    <row r="208" spans="14:21" x14ac:dyDescent="0.25">
      <c r="N208" s="2" t="str">
        <f t="shared" si="8"/>
        <v>BS ID12</v>
      </c>
      <c r="O208" cm="1">
        <f t="array" ref="O208">INDEX($F$6:$F$68, INT((ROWS(O$6:O208)-1)/5)+1)</f>
        <v>14</v>
      </c>
      <c r="P208" cm="1">
        <f t="array" ref="P208">INDEX($G$6:$G$68, INT((ROWS(P$6:P208)-1)/5)+1)</f>
        <v>1</v>
      </c>
      <c r="Q208">
        <f>MOD(ROWS(Q$6:Q208)-1,5)+1</f>
        <v>3</v>
      </c>
      <c r="R208" cm="1">
        <f t="array" ref="R208">INDEX($H$6:$H$68, INT((ROWS(R$6:R208)-1)/5)+1)</f>
        <v>3</v>
      </c>
      <c r="S208" cm="1">
        <f t="array" ref="S208">INDEX($I$6:$I$68, INT((ROWS(S$6:S208)-1)/5)+1)</f>
        <v>2</v>
      </c>
      <c r="U208" s="12">
        <v>48.16</v>
      </c>
    </row>
    <row r="209" spans="14:21" x14ac:dyDescent="0.25">
      <c r="N209" s="2" t="str">
        <f t="shared" si="8"/>
        <v>BS ID12</v>
      </c>
      <c r="O209" cm="1">
        <f t="array" ref="O209">INDEX($F$6:$F$68, INT((ROWS(O$6:O209)-1)/5)+1)</f>
        <v>14</v>
      </c>
      <c r="P209" cm="1">
        <f t="array" ref="P209">INDEX($G$6:$G$68, INT((ROWS(P$6:P209)-1)/5)+1)</f>
        <v>1</v>
      </c>
      <c r="Q209">
        <f>MOD(ROWS(Q$6:Q209)-1,5)+1</f>
        <v>4</v>
      </c>
      <c r="R209" cm="1">
        <f t="array" ref="R209">INDEX($H$6:$H$68, INT((ROWS(R$6:R209)-1)/5)+1)</f>
        <v>3</v>
      </c>
      <c r="S209" cm="1">
        <f t="array" ref="S209">INDEX($I$6:$I$68, INT((ROWS(S$6:S209)-1)/5)+1)</f>
        <v>2</v>
      </c>
      <c r="U209" s="12">
        <v>56.64</v>
      </c>
    </row>
    <row r="210" spans="14:21" x14ac:dyDescent="0.25">
      <c r="N210" s="2" t="str">
        <f t="shared" si="8"/>
        <v>BS ID12</v>
      </c>
      <c r="O210" cm="1">
        <f t="array" ref="O210">INDEX($F$6:$F$68, INT((ROWS(O$6:O210)-1)/5)+1)</f>
        <v>14</v>
      </c>
      <c r="P210" cm="1">
        <f t="array" ref="P210">INDEX($G$6:$G$68, INT((ROWS(P$6:P210)-1)/5)+1)</f>
        <v>1</v>
      </c>
      <c r="Q210">
        <f>MOD(ROWS(Q$6:Q210)-1,5)+1</f>
        <v>5</v>
      </c>
      <c r="R210" cm="1">
        <f t="array" ref="R210">INDEX($H$6:$H$68, INT((ROWS(R$6:R210)-1)/5)+1)</f>
        <v>3</v>
      </c>
      <c r="S210" cm="1">
        <f t="array" ref="S210">INDEX($I$6:$I$68, INT((ROWS(S$6:S210)-1)/5)+1)</f>
        <v>2</v>
      </c>
      <c r="U210" s="12">
        <v>53.8</v>
      </c>
    </row>
    <row r="211" spans="14:21" x14ac:dyDescent="0.25">
      <c r="N211" s="2" t="str">
        <f t="shared" si="8"/>
        <v>BS ID12</v>
      </c>
      <c r="O211" cm="1">
        <f t="array" ref="O211">INDEX($F$6:$F$68, INT((ROWS(O$6:O211)-1)/5)+1)</f>
        <v>14</v>
      </c>
      <c r="P211" cm="1">
        <f t="array" ref="P211">INDEX($G$6:$G$68, INT((ROWS(P$6:P211)-1)/5)+1)</f>
        <v>2</v>
      </c>
      <c r="Q211">
        <f>MOD(ROWS(Q$6:Q211)-1,5)+1</f>
        <v>1</v>
      </c>
      <c r="R211" cm="1">
        <f t="array" ref="R211">INDEX($H$6:$H$68, INT((ROWS(R$6:R211)-1)/5)+1)</f>
        <v>1</v>
      </c>
      <c r="S211" cm="1">
        <f t="array" ref="S211">INDEX($I$6:$I$68, INT((ROWS(S$6:S211)-1)/5)+1)</f>
        <v>2</v>
      </c>
      <c r="U211" s="12">
        <v>93.1</v>
      </c>
    </row>
    <row r="212" spans="14:21" x14ac:dyDescent="0.25">
      <c r="N212" s="2" t="str">
        <f t="shared" si="8"/>
        <v>BS ID12</v>
      </c>
      <c r="O212" cm="1">
        <f t="array" ref="O212">INDEX($F$6:$F$68, INT((ROWS(O$6:O212)-1)/5)+1)</f>
        <v>14</v>
      </c>
      <c r="P212" cm="1">
        <f t="array" ref="P212">INDEX($G$6:$G$68, INT((ROWS(P$6:P212)-1)/5)+1)</f>
        <v>2</v>
      </c>
      <c r="Q212">
        <f>MOD(ROWS(Q$6:Q212)-1,5)+1</f>
        <v>2</v>
      </c>
      <c r="R212" cm="1">
        <f t="array" ref="R212">INDEX($H$6:$H$68, INT((ROWS(R$6:R212)-1)/5)+1)</f>
        <v>1</v>
      </c>
      <c r="S212" cm="1">
        <f t="array" ref="S212">INDEX($I$6:$I$68, INT((ROWS(S$6:S212)-1)/5)+1)</f>
        <v>2</v>
      </c>
      <c r="U212" s="12">
        <v>62.21</v>
      </c>
    </row>
    <row r="213" spans="14:21" x14ac:dyDescent="0.25">
      <c r="N213" s="2" t="str">
        <f t="shared" si="8"/>
        <v>BS ID12</v>
      </c>
      <c r="O213" cm="1">
        <f t="array" ref="O213">INDEX($F$6:$F$68, INT((ROWS(O$6:O213)-1)/5)+1)</f>
        <v>14</v>
      </c>
      <c r="P213" cm="1">
        <f t="array" ref="P213">INDEX($G$6:$G$68, INT((ROWS(P$6:P213)-1)/5)+1)</f>
        <v>2</v>
      </c>
      <c r="Q213">
        <f>MOD(ROWS(Q$6:Q213)-1,5)+1</f>
        <v>3</v>
      </c>
      <c r="R213" cm="1">
        <f t="array" ref="R213">INDEX($H$6:$H$68, INT((ROWS(R$6:R213)-1)/5)+1)</f>
        <v>1</v>
      </c>
      <c r="S213" cm="1">
        <f t="array" ref="S213">INDEX($I$6:$I$68, INT((ROWS(S$6:S213)-1)/5)+1)</f>
        <v>2</v>
      </c>
      <c r="U213" s="12">
        <v>62.55</v>
      </c>
    </row>
    <row r="214" spans="14:21" x14ac:dyDescent="0.25">
      <c r="N214" s="2" t="str">
        <f t="shared" si="8"/>
        <v>BS ID12</v>
      </c>
      <c r="O214" cm="1">
        <f t="array" ref="O214">INDEX($F$6:$F$68, INT((ROWS(O$6:O214)-1)/5)+1)</f>
        <v>14</v>
      </c>
      <c r="P214" cm="1">
        <f t="array" ref="P214">INDEX($G$6:$G$68, INT((ROWS(P$6:P214)-1)/5)+1)</f>
        <v>2</v>
      </c>
      <c r="Q214">
        <f>MOD(ROWS(Q$6:Q214)-1,5)+1</f>
        <v>4</v>
      </c>
      <c r="R214" cm="1">
        <f t="array" ref="R214">INDEX($H$6:$H$68, INT((ROWS(R$6:R214)-1)/5)+1)</f>
        <v>1</v>
      </c>
      <c r="S214" cm="1">
        <f t="array" ref="S214">INDEX($I$6:$I$68, INT((ROWS(S$6:S214)-1)/5)+1)</f>
        <v>2</v>
      </c>
      <c r="U214" s="12">
        <v>64.010000000000005</v>
      </c>
    </row>
    <row r="215" spans="14:21" x14ac:dyDescent="0.25">
      <c r="N215" s="2" t="str">
        <f t="shared" si="8"/>
        <v>BS ID12</v>
      </c>
      <c r="O215" cm="1">
        <f t="array" ref="O215">INDEX($F$6:$F$68, INT((ROWS(O$6:O215)-1)/5)+1)</f>
        <v>14</v>
      </c>
      <c r="P215" cm="1">
        <f t="array" ref="P215">INDEX($G$6:$G$68, INT((ROWS(P$6:P215)-1)/5)+1)</f>
        <v>2</v>
      </c>
      <c r="Q215">
        <f>MOD(ROWS(Q$6:Q215)-1,5)+1</f>
        <v>5</v>
      </c>
      <c r="R215" cm="1">
        <f t="array" ref="R215">INDEX($H$6:$H$68, INT((ROWS(R$6:R215)-1)/5)+1)</f>
        <v>1</v>
      </c>
      <c r="S215" cm="1">
        <f t="array" ref="S215">INDEX($I$6:$I$68, INT((ROWS(S$6:S215)-1)/5)+1)</f>
        <v>2</v>
      </c>
      <c r="U215" s="12">
        <v>71.38</v>
      </c>
    </row>
    <row r="216" spans="14:21" x14ac:dyDescent="0.25">
      <c r="N216" s="2" t="str">
        <f t="shared" si="8"/>
        <v>NB ID3</v>
      </c>
      <c r="O216" cm="1">
        <f t="array" ref="O216">INDEX($F$6:$F$68, INT((ROWS(O$6:O216)-1)/5)+1)</f>
        <v>15</v>
      </c>
      <c r="P216" cm="1">
        <f t="array" ref="P216">INDEX($G$6:$G$68, INT((ROWS(P$6:P216)-1)/5)+1)</f>
        <v>1</v>
      </c>
      <c r="Q216">
        <f>MOD(ROWS(Q$6:Q216)-1,5)+1</f>
        <v>1</v>
      </c>
      <c r="R216" cm="1">
        <f t="array" ref="R216">INDEX($H$6:$H$68, INT((ROWS(R$6:R216)-1)/5)+1)</f>
        <v>3</v>
      </c>
      <c r="S216" cm="1">
        <f t="array" ref="S216">INDEX($I$6:$I$68, INT((ROWS(S$6:S216)-1)/5)+1)</f>
        <v>3</v>
      </c>
      <c r="U216" s="12">
        <v>50.74</v>
      </c>
    </row>
    <row r="217" spans="14:21" x14ac:dyDescent="0.25">
      <c r="N217" s="2" t="str">
        <f t="shared" si="8"/>
        <v>NB ID3</v>
      </c>
      <c r="O217" cm="1">
        <f t="array" ref="O217">INDEX($F$6:$F$68, INT((ROWS(O$6:O217)-1)/5)+1)</f>
        <v>15</v>
      </c>
      <c r="P217" cm="1">
        <f t="array" ref="P217">INDEX($G$6:$G$68, INT((ROWS(P$6:P217)-1)/5)+1)</f>
        <v>1</v>
      </c>
      <c r="Q217">
        <f>MOD(ROWS(Q$6:Q217)-1,5)+1</f>
        <v>2</v>
      </c>
      <c r="R217" cm="1">
        <f t="array" ref="R217">INDEX($H$6:$H$68, INT((ROWS(R$6:R217)-1)/5)+1)</f>
        <v>3</v>
      </c>
      <c r="S217" cm="1">
        <f t="array" ref="S217">INDEX($I$6:$I$68, INT((ROWS(S$6:S217)-1)/5)+1)</f>
        <v>3</v>
      </c>
      <c r="U217" s="12">
        <v>50.82</v>
      </c>
    </row>
    <row r="218" spans="14:21" x14ac:dyDescent="0.25">
      <c r="N218" s="2" t="str">
        <f t="shared" si="8"/>
        <v>NB ID3</v>
      </c>
      <c r="O218" cm="1">
        <f t="array" ref="O218">INDEX($F$6:$F$68, INT((ROWS(O$6:O218)-1)/5)+1)</f>
        <v>15</v>
      </c>
      <c r="P218" cm="1">
        <f t="array" ref="P218">INDEX($G$6:$G$68, INT((ROWS(P$6:P218)-1)/5)+1)</f>
        <v>1</v>
      </c>
      <c r="Q218">
        <f>MOD(ROWS(Q$6:Q218)-1,5)+1</f>
        <v>3</v>
      </c>
      <c r="R218" cm="1">
        <f t="array" ref="R218">INDEX($H$6:$H$68, INT((ROWS(R$6:R218)-1)/5)+1)</f>
        <v>3</v>
      </c>
      <c r="S218" cm="1">
        <f t="array" ref="S218">INDEX($I$6:$I$68, INT((ROWS(S$6:S218)-1)/5)+1)</f>
        <v>3</v>
      </c>
      <c r="U218" s="12">
        <v>49.66</v>
      </c>
    </row>
    <row r="219" spans="14:21" x14ac:dyDescent="0.25">
      <c r="N219" s="2" t="str">
        <f t="shared" si="8"/>
        <v>NB ID3</v>
      </c>
      <c r="O219" cm="1">
        <f t="array" ref="O219">INDEX($F$6:$F$68, INT((ROWS(O$6:O219)-1)/5)+1)</f>
        <v>15</v>
      </c>
      <c r="P219" cm="1">
        <f t="array" ref="P219">INDEX($G$6:$G$68, INT((ROWS(P$6:P219)-1)/5)+1)</f>
        <v>1</v>
      </c>
      <c r="Q219">
        <f>MOD(ROWS(Q$6:Q219)-1,5)+1</f>
        <v>4</v>
      </c>
      <c r="R219" cm="1">
        <f t="array" ref="R219">INDEX($H$6:$H$68, INT((ROWS(R$6:R219)-1)/5)+1)</f>
        <v>3</v>
      </c>
      <c r="S219" cm="1">
        <f t="array" ref="S219">INDEX($I$6:$I$68, INT((ROWS(S$6:S219)-1)/5)+1)</f>
        <v>3</v>
      </c>
      <c r="U219" s="12">
        <v>49.87</v>
      </c>
    </row>
    <row r="220" spans="14:21" x14ac:dyDescent="0.25">
      <c r="N220" s="2" t="str">
        <f t="shared" si="8"/>
        <v>NB ID3</v>
      </c>
      <c r="O220" cm="1">
        <f t="array" ref="O220">INDEX($F$6:$F$68, INT((ROWS(O$6:O220)-1)/5)+1)</f>
        <v>15</v>
      </c>
      <c r="P220" cm="1">
        <f t="array" ref="P220">INDEX($G$6:$G$68, INT((ROWS(P$6:P220)-1)/5)+1)</f>
        <v>1</v>
      </c>
      <c r="Q220">
        <f>MOD(ROWS(Q$6:Q220)-1,5)+1</f>
        <v>5</v>
      </c>
      <c r="R220" cm="1">
        <f t="array" ref="R220">INDEX($H$6:$H$68, INT((ROWS(R$6:R220)-1)/5)+1)</f>
        <v>3</v>
      </c>
      <c r="S220" cm="1">
        <f t="array" ref="S220">INDEX($I$6:$I$68, INT((ROWS(S$6:S220)-1)/5)+1)</f>
        <v>3</v>
      </c>
      <c r="U220" s="12">
        <v>45.18</v>
      </c>
    </row>
    <row r="221" spans="14:21" x14ac:dyDescent="0.25">
      <c r="N221" s="2" t="str">
        <f t="shared" si="8"/>
        <v>NB ID3</v>
      </c>
      <c r="O221" cm="1">
        <f t="array" ref="O221">INDEX($F$6:$F$68, INT((ROWS(O$6:O221)-1)/5)+1)</f>
        <v>15</v>
      </c>
      <c r="P221" cm="1">
        <f t="array" ref="P221">INDEX($G$6:$G$68, INT((ROWS(P$6:P221)-1)/5)+1)</f>
        <v>2</v>
      </c>
      <c r="Q221">
        <f>MOD(ROWS(Q$6:Q221)-1,5)+1</f>
        <v>1</v>
      </c>
      <c r="R221" cm="1">
        <f t="array" ref="R221">INDEX($H$6:$H$68, INT((ROWS(R$6:R221)-1)/5)+1)</f>
        <v>1</v>
      </c>
      <c r="S221" cm="1">
        <f t="array" ref="S221">INDEX($I$6:$I$68, INT((ROWS(S$6:S221)-1)/5)+1)</f>
        <v>3</v>
      </c>
      <c r="U221" s="12">
        <v>68.05</v>
      </c>
    </row>
    <row r="222" spans="14:21" x14ac:dyDescent="0.25">
      <c r="N222" s="2" t="str">
        <f t="shared" si="8"/>
        <v>NB ID3</v>
      </c>
      <c r="O222" cm="1">
        <f t="array" ref="O222">INDEX($F$6:$F$68, INT((ROWS(O$6:O222)-1)/5)+1)</f>
        <v>15</v>
      </c>
      <c r="P222" cm="1">
        <f t="array" ref="P222">INDEX($G$6:$G$68, INT((ROWS(P$6:P222)-1)/5)+1)</f>
        <v>2</v>
      </c>
      <c r="Q222">
        <f>MOD(ROWS(Q$6:Q222)-1,5)+1</f>
        <v>2</v>
      </c>
      <c r="R222" cm="1">
        <f t="array" ref="R222">INDEX($H$6:$H$68, INT((ROWS(R$6:R222)-1)/5)+1)</f>
        <v>1</v>
      </c>
      <c r="S222" cm="1">
        <f t="array" ref="S222">INDEX($I$6:$I$68, INT((ROWS(S$6:S222)-1)/5)+1)</f>
        <v>3</v>
      </c>
      <c r="U222" s="12">
        <v>60.38</v>
      </c>
    </row>
    <row r="223" spans="14:21" x14ac:dyDescent="0.25">
      <c r="N223" s="2" t="str">
        <f t="shared" si="8"/>
        <v>NB ID3</v>
      </c>
      <c r="O223" cm="1">
        <f t="array" ref="O223">INDEX($F$6:$F$68, INT((ROWS(O$6:O223)-1)/5)+1)</f>
        <v>15</v>
      </c>
      <c r="P223" cm="1">
        <f t="array" ref="P223">INDEX($G$6:$G$68, INT((ROWS(P$6:P223)-1)/5)+1)</f>
        <v>2</v>
      </c>
      <c r="Q223">
        <f>MOD(ROWS(Q$6:Q223)-1,5)+1</f>
        <v>3</v>
      </c>
      <c r="R223" cm="1">
        <f t="array" ref="R223">INDEX($H$6:$H$68, INT((ROWS(R$6:R223)-1)/5)+1)</f>
        <v>1</v>
      </c>
      <c r="S223" cm="1">
        <f t="array" ref="S223">INDEX($I$6:$I$68, INT((ROWS(S$6:S223)-1)/5)+1)</f>
        <v>3</v>
      </c>
      <c r="U223" s="12">
        <v>59.31</v>
      </c>
    </row>
    <row r="224" spans="14:21" x14ac:dyDescent="0.25">
      <c r="N224" s="2" t="str">
        <f t="shared" si="8"/>
        <v>NB ID3</v>
      </c>
      <c r="O224" cm="1">
        <f t="array" ref="O224">INDEX($F$6:$F$68, INT((ROWS(O$6:O224)-1)/5)+1)</f>
        <v>15</v>
      </c>
      <c r="P224" cm="1">
        <f t="array" ref="P224">INDEX($G$6:$G$68, INT((ROWS(P$6:P224)-1)/5)+1)</f>
        <v>2</v>
      </c>
      <c r="Q224">
        <f>MOD(ROWS(Q$6:Q224)-1,5)+1</f>
        <v>4</v>
      </c>
      <c r="R224" cm="1">
        <f t="array" ref="R224">INDEX($H$6:$H$68, INT((ROWS(R$6:R224)-1)/5)+1)</f>
        <v>1</v>
      </c>
      <c r="S224" cm="1">
        <f t="array" ref="S224">INDEX($I$6:$I$68, INT((ROWS(S$6:S224)-1)/5)+1)</f>
        <v>3</v>
      </c>
      <c r="U224" s="12">
        <v>65.849999999999994</v>
      </c>
    </row>
    <row r="225" spans="14:21" x14ac:dyDescent="0.25">
      <c r="N225" s="2" t="str">
        <f t="shared" si="8"/>
        <v>NB ID3</v>
      </c>
      <c r="O225" cm="1">
        <f t="array" ref="O225">INDEX($F$6:$F$68, INT((ROWS(O$6:O225)-1)/5)+1)</f>
        <v>15</v>
      </c>
      <c r="P225" cm="1">
        <f t="array" ref="P225">INDEX($G$6:$G$68, INT((ROWS(P$6:P225)-1)/5)+1)</f>
        <v>2</v>
      </c>
      <c r="Q225">
        <f>MOD(ROWS(Q$6:Q225)-1,5)+1</f>
        <v>5</v>
      </c>
      <c r="R225" cm="1">
        <f t="array" ref="R225">INDEX($H$6:$H$68, INT((ROWS(R$6:R225)-1)/5)+1)</f>
        <v>1</v>
      </c>
      <c r="S225" cm="1">
        <f t="array" ref="S225">INDEX($I$6:$I$68, INT((ROWS(S$6:S225)-1)/5)+1)</f>
        <v>3</v>
      </c>
      <c r="U225" s="12">
        <v>62.58</v>
      </c>
    </row>
    <row r="226" spans="14:21" x14ac:dyDescent="0.25">
      <c r="N226" s="2" t="str">
        <f t="shared" si="8"/>
        <v>NB ID3</v>
      </c>
      <c r="O226" cm="1">
        <f t="array" ref="O226">INDEX($F$6:$F$68, INT((ROWS(O$6:O226)-1)/5)+1)</f>
        <v>15</v>
      </c>
      <c r="P226" cm="1">
        <f t="array" ref="P226">INDEX($G$6:$G$68, INT((ROWS(P$6:P226)-1)/5)+1)</f>
        <v>3</v>
      </c>
      <c r="Q226">
        <f>MOD(ROWS(Q$6:Q226)-1,5)+1</f>
        <v>1</v>
      </c>
      <c r="R226" cm="1">
        <f t="array" ref="R226">INDEX($H$6:$H$68, INT((ROWS(R$6:R226)-1)/5)+1)</f>
        <v>2</v>
      </c>
      <c r="S226" cm="1">
        <f t="array" ref="S226">INDEX($I$6:$I$68, INT((ROWS(S$6:S226)-1)/5)+1)</f>
        <v>3</v>
      </c>
      <c r="U226" s="12">
        <v>74.59</v>
      </c>
    </row>
    <row r="227" spans="14:21" x14ac:dyDescent="0.25">
      <c r="N227" s="2" t="str">
        <f t="shared" si="8"/>
        <v>NB ID3</v>
      </c>
      <c r="O227" cm="1">
        <f t="array" ref="O227">INDEX($F$6:$F$68, INT((ROWS(O$6:O227)-1)/5)+1)</f>
        <v>15</v>
      </c>
      <c r="P227" cm="1">
        <f t="array" ref="P227">INDEX($G$6:$G$68, INT((ROWS(P$6:P227)-1)/5)+1)</f>
        <v>3</v>
      </c>
      <c r="Q227">
        <f>MOD(ROWS(Q$6:Q227)-1,5)+1</f>
        <v>2</v>
      </c>
      <c r="R227" cm="1">
        <f t="array" ref="R227">INDEX($H$6:$H$68, INT((ROWS(R$6:R227)-1)/5)+1)</f>
        <v>2</v>
      </c>
      <c r="S227" cm="1">
        <f t="array" ref="S227">INDEX($I$6:$I$68, INT((ROWS(S$6:S227)-1)/5)+1)</f>
        <v>3</v>
      </c>
      <c r="U227" s="12">
        <v>62.07</v>
      </c>
    </row>
    <row r="228" spans="14:21" x14ac:dyDescent="0.25">
      <c r="N228" s="2" t="str">
        <f t="shared" si="8"/>
        <v>NB ID3</v>
      </c>
      <c r="O228" cm="1">
        <f t="array" ref="O228">INDEX($F$6:$F$68, INT((ROWS(O$6:O228)-1)/5)+1)</f>
        <v>15</v>
      </c>
      <c r="P228" cm="1">
        <f t="array" ref="P228">INDEX($G$6:$G$68, INT((ROWS(P$6:P228)-1)/5)+1)</f>
        <v>3</v>
      </c>
      <c r="Q228">
        <f>MOD(ROWS(Q$6:Q228)-1,5)+1</f>
        <v>3</v>
      </c>
      <c r="R228" cm="1">
        <f t="array" ref="R228">INDEX($H$6:$H$68, INT((ROWS(R$6:R228)-1)/5)+1)</f>
        <v>2</v>
      </c>
      <c r="S228" cm="1">
        <f t="array" ref="S228">INDEX($I$6:$I$68, INT((ROWS(S$6:S228)-1)/5)+1)</f>
        <v>3</v>
      </c>
      <c r="U228" s="12">
        <v>60.93</v>
      </c>
    </row>
    <row r="229" spans="14:21" x14ac:dyDescent="0.25">
      <c r="N229" s="2" t="str">
        <f t="shared" si="8"/>
        <v>NB ID3</v>
      </c>
      <c r="O229" cm="1">
        <f t="array" ref="O229">INDEX($F$6:$F$68, INT((ROWS(O$6:O229)-1)/5)+1)</f>
        <v>15</v>
      </c>
      <c r="P229" cm="1">
        <f t="array" ref="P229">INDEX($G$6:$G$68, INT((ROWS(P$6:P229)-1)/5)+1)</f>
        <v>3</v>
      </c>
      <c r="Q229">
        <f>MOD(ROWS(Q$6:Q229)-1,5)+1</f>
        <v>4</v>
      </c>
      <c r="R229" cm="1">
        <f t="array" ref="R229">INDEX($H$6:$H$68, INT((ROWS(R$6:R229)-1)/5)+1)</f>
        <v>2</v>
      </c>
      <c r="S229" cm="1">
        <f t="array" ref="S229">INDEX($I$6:$I$68, INT((ROWS(S$6:S229)-1)/5)+1)</f>
        <v>3</v>
      </c>
      <c r="U229" s="12">
        <v>61.43</v>
      </c>
    </row>
    <row r="230" spans="14:21" x14ac:dyDescent="0.25">
      <c r="N230" s="2" t="str">
        <f t="shared" si="8"/>
        <v>NB ID3</v>
      </c>
      <c r="O230" cm="1">
        <f t="array" ref="O230">INDEX($F$6:$F$68, INT((ROWS(O$6:O230)-1)/5)+1)</f>
        <v>15</v>
      </c>
      <c r="P230" cm="1">
        <f t="array" ref="P230">INDEX($G$6:$G$68, INT((ROWS(P$6:P230)-1)/5)+1)</f>
        <v>3</v>
      </c>
      <c r="Q230">
        <f>MOD(ROWS(Q$6:Q230)-1,5)+1</f>
        <v>5</v>
      </c>
      <c r="R230" cm="1">
        <f t="array" ref="R230">INDEX($H$6:$H$68, INT((ROWS(R$6:R230)-1)/5)+1)</f>
        <v>2</v>
      </c>
      <c r="S230" cm="1">
        <f t="array" ref="S230">INDEX($I$6:$I$68, INT((ROWS(S$6:S230)-1)/5)+1)</f>
        <v>3</v>
      </c>
      <c r="U230" s="12">
        <v>64.3</v>
      </c>
    </row>
    <row r="231" spans="14:21" x14ac:dyDescent="0.25">
      <c r="N231" s="2" t="str">
        <f t="shared" si="8"/>
        <v>AS ID6</v>
      </c>
      <c r="O231" cm="1">
        <f t="array" ref="O231">INDEX($F$6:$F$68, INT((ROWS(O$6:O231)-1)/5)+1)</f>
        <v>16</v>
      </c>
      <c r="P231" cm="1">
        <f t="array" ref="P231">INDEX($G$6:$G$68, INT((ROWS(P$6:P231)-1)/5)+1)</f>
        <v>3</v>
      </c>
      <c r="Q231">
        <f>MOD(ROWS(Q$6:Q231)-1,5)+1</f>
        <v>1</v>
      </c>
      <c r="R231" cm="1">
        <f t="array" ref="R231">INDEX($H$6:$H$68, INT((ROWS(R$6:R231)-1)/5)+1)</f>
        <v>1</v>
      </c>
      <c r="S231" cm="1">
        <f t="array" ref="S231">INDEX($I$6:$I$68, INT((ROWS(S$6:S231)-1)/5)+1)</f>
        <v>3</v>
      </c>
      <c r="U231" s="12">
        <v>69.44</v>
      </c>
    </row>
    <row r="232" spans="14:21" x14ac:dyDescent="0.25">
      <c r="N232" s="2" t="str">
        <f t="shared" si="8"/>
        <v>AS ID6</v>
      </c>
      <c r="O232" cm="1">
        <f t="array" ref="O232">INDEX($F$6:$F$68, INT((ROWS(O$6:O232)-1)/5)+1)</f>
        <v>16</v>
      </c>
      <c r="P232" cm="1">
        <f t="array" ref="P232">INDEX($G$6:$G$68, INT((ROWS(P$6:P232)-1)/5)+1)</f>
        <v>3</v>
      </c>
      <c r="Q232">
        <f>MOD(ROWS(Q$6:Q232)-1,5)+1</f>
        <v>2</v>
      </c>
      <c r="R232" cm="1">
        <f t="array" ref="R232">INDEX($H$6:$H$68, INT((ROWS(R$6:R232)-1)/5)+1)</f>
        <v>1</v>
      </c>
      <c r="S232" cm="1">
        <f t="array" ref="S232">INDEX($I$6:$I$68, INT((ROWS(S$6:S232)-1)/5)+1)</f>
        <v>3</v>
      </c>
      <c r="U232" s="12">
        <v>59.19</v>
      </c>
    </row>
    <row r="233" spans="14:21" x14ac:dyDescent="0.25">
      <c r="N233" s="2" t="str">
        <f t="shared" si="8"/>
        <v>AS ID6</v>
      </c>
      <c r="O233" cm="1">
        <f t="array" ref="O233">INDEX($F$6:$F$68, INT((ROWS(O$6:O233)-1)/5)+1)</f>
        <v>16</v>
      </c>
      <c r="P233" cm="1">
        <f t="array" ref="P233">INDEX($G$6:$G$68, INT((ROWS(P$6:P233)-1)/5)+1)</f>
        <v>3</v>
      </c>
      <c r="Q233">
        <f>MOD(ROWS(Q$6:Q233)-1,5)+1</f>
        <v>3</v>
      </c>
      <c r="R233" cm="1">
        <f t="array" ref="R233">INDEX($H$6:$H$68, INT((ROWS(R$6:R233)-1)/5)+1)</f>
        <v>1</v>
      </c>
      <c r="S233" cm="1">
        <f t="array" ref="S233">INDEX($I$6:$I$68, INT((ROWS(S$6:S233)-1)/5)+1)</f>
        <v>3</v>
      </c>
      <c r="U233" s="12">
        <v>60.08</v>
      </c>
    </row>
    <row r="234" spans="14:21" x14ac:dyDescent="0.25">
      <c r="N234" s="2" t="str">
        <f t="shared" si="8"/>
        <v>AS ID6</v>
      </c>
      <c r="O234" cm="1">
        <f t="array" ref="O234">INDEX($F$6:$F$68, INT((ROWS(O$6:O234)-1)/5)+1)</f>
        <v>16</v>
      </c>
      <c r="P234" cm="1">
        <f t="array" ref="P234">INDEX($G$6:$G$68, INT((ROWS(P$6:P234)-1)/5)+1)</f>
        <v>3</v>
      </c>
      <c r="Q234">
        <f>MOD(ROWS(Q$6:Q234)-1,5)+1</f>
        <v>4</v>
      </c>
      <c r="R234" cm="1">
        <f t="array" ref="R234">INDEX($H$6:$H$68, INT((ROWS(R$6:R234)-1)/5)+1)</f>
        <v>1</v>
      </c>
      <c r="S234" cm="1">
        <f t="array" ref="S234">INDEX($I$6:$I$68, INT((ROWS(S$6:S234)-1)/5)+1)</f>
        <v>3</v>
      </c>
      <c r="U234" s="12">
        <v>59.64</v>
      </c>
    </row>
    <row r="235" spans="14:21" x14ac:dyDescent="0.25">
      <c r="N235" s="2" t="str">
        <f t="shared" si="8"/>
        <v>AS ID6</v>
      </c>
      <c r="O235" cm="1">
        <f t="array" ref="O235">INDEX($F$6:$F$68, INT((ROWS(O$6:O235)-1)/5)+1)</f>
        <v>16</v>
      </c>
      <c r="P235" cm="1">
        <f t="array" ref="P235">INDEX($G$6:$G$68, INT((ROWS(P$6:P235)-1)/5)+1)</f>
        <v>3</v>
      </c>
      <c r="Q235">
        <f>MOD(ROWS(Q$6:Q235)-1,5)+1</f>
        <v>5</v>
      </c>
      <c r="R235" cm="1">
        <f t="array" ref="R235">INDEX($H$6:$H$68, INT((ROWS(R$6:R235)-1)/5)+1)</f>
        <v>1</v>
      </c>
      <c r="S235" cm="1">
        <f t="array" ref="S235">INDEX($I$6:$I$68, INT((ROWS(S$6:S235)-1)/5)+1)</f>
        <v>3</v>
      </c>
      <c r="U235" s="12">
        <v>60.08</v>
      </c>
    </row>
    <row r="236" spans="14:21" x14ac:dyDescent="0.25">
      <c r="N236" s="2" t="str">
        <f t="shared" si="8"/>
        <v>AS ID6</v>
      </c>
      <c r="O236" cm="1">
        <f t="array" ref="O236">INDEX($F$6:$F$68, INT((ROWS(O$6:O236)-1)/5)+1)</f>
        <v>16</v>
      </c>
      <c r="P236" cm="1">
        <f t="array" ref="P236">INDEX($G$6:$G$68, INT((ROWS(P$6:P236)-1)/5)+1)</f>
        <v>1</v>
      </c>
      <c r="Q236">
        <f>MOD(ROWS(Q$6:Q236)-1,5)+1</f>
        <v>1</v>
      </c>
      <c r="R236" cm="1">
        <f t="array" ref="R236">INDEX($H$6:$H$68, INT((ROWS(R$6:R236)-1)/5)+1)</f>
        <v>2</v>
      </c>
      <c r="S236" cm="1">
        <f t="array" ref="S236">INDEX($I$6:$I$68, INT((ROWS(S$6:S236)-1)/5)+1)</f>
        <v>3</v>
      </c>
      <c r="U236" s="12">
        <v>47.79</v>
      </c>
    </row>
    <row r="237" spans="14:21" x14ac:dyDescent="0.25">
      <c r="N237" s="2" t="str">
        <f t="shared" si="8"/>
        <v>AS ID6</v>
      </c>
      <c r="O237" cm="1">
        <f t="array" ref="O237">INDEX($F$6:$F$68, INT((ROWS(O$6:O237)-1)/5)+1)</f>
        <v>16</v>
      </c>
      <c r="P237" cm="1">
        <f t="array" ref="P237">INDEX($G$6:$G$68, INT((ROWS(P$6:P237)-1)/5)+1)</f>
        <v>1</v>
      </c>
      <c r="Q237">
        <f>MOD(ROWS(Q$6:Q237)-1,5)+1</f>
        <v>2</v>
      </c>
      <c r="R237" cm="1">
        <f t="array" ref="R237">INDEX($H$6:$H$68, INT((ROWS(R$6:R237)-1)/5)+1)</f>
        <v>2</v>
      </c>
      <c r="S237" cm="1">
        <f t="array" ref="S237">INDEX($I$6:$I$68, INT((ROWS(S$6:S237)-1)/5)+1)</f>
        <v>3</v>
      </c>
      <c r="U237" s="12">
        <v>43.56</v>
      </c>
    </row>
    <row r="238" spans="14:21" x14ac:dyDescent="0.25">
      <c r="N238" s="2" t="str">
        <f t="shared" si="8"/>
        <v>AS ID6</v>
      </c>
      <c r="O238" cm="1">
        <f t="array" ref="O238">INDEX($F$6:$F$68, INT((ROWS(O$6:O238)-1)/5)+1)</f>
        <v>16</v>
      </c>
      <c r="P238" cm="1">
        <f t="array" ref="P238">INDEX($G$6:$G$68, INT((ROWS(P$6:P238)-1)/5)+1)</f>
        <v>1</v>
      </c>
      <c r="Q238">
        <f>MOD(ROWS(Q$6:Q238)-1,5)+1</f>
        <v>3</v>
      </c>
      <c r="R238" cm="1">
        <f t="array" ref="R238">INDEX($H$6:$H$68, INT((ROWS(R$6:R238)-1)/5)+1)</f>
        <v>2</v>
      </c>
      <c r="S238" cm="1">
        <f t="array" ref="S238">INDEX($I$6:$I$68, INT((ROWS(S$6:S238)-1)/5)+1)</f>
        <v>3</v>
      </c>
      <c r="U238" s="12">
        <v>44.25</v>
      </c>
    </row>
    <row r="239" spans="14:21" x14ac:dyDescent="0.25">
      <c r="N239" s="2" t="str">
        <f t="shared" si="8"/>
        <v>AS ID6</v>
      </c>
      <c r="O239" cm="1">
        <f t="array" ref="O239">INDEX($F$6:$F$68, INT((ROWS(O$6:O239)-1)/5)+1)</f>
        <v>16</v>
      </c>
      <c r="P239" cm="1">
        <f t="array" ref="P239">INDEX($G$6:$G$68, INT((ROWS(P$6:P239)-1)/5)+1)</f>
        <v>1</v>
      </c>
      <c r="Q239">
        <f>MOD(ROWS(Q$6:Q239)-1,5)+1</f>
        <v>4</v>
      </c>
      <c r="R239" cm="1">
        <f t="array" ref="R239">INDEX($H$6:$H$68, INT((ROWS(R$6:R239)-1)/5)+1)</f>
        <v>2</v>
      </c>
      <c r="S239" cm="1">
        <f t="array" ref="S239">INDEX($I$6:$I$68, INT((ROWS(S$6:S239)-1)/5)+1)</f>
        <v>3</v>
      </c>
      <c r="U239" s="12">
        <v>43.61</v>
      </c>
    </row>
    <row r="240" spans="14:21" x14ac:dyDescent="0.25">
      <c r="N240" s="2" t="str">
        <f t="shared" si="8"/>
        <v>AS ID6</v>
      </c>
      <c r="O240" cm="1">
        <f t="array" ref="O240">INDEX($F$6:$F$68, INT((ROWS(O$6:O240)-1)/5)+1)</f>
        <v>16</v>
      </c>
      <c r="P240" cm="1">
        <f t="array" ref="P240">INDEX($G$6:$G$68, INT((ROWS(P$6:P240)-1)/5)+1)</f>
        <v>1</v>
      </c>
      <c r="Q240">
        <f>MOD(ROWS(Q$6:Q240)-1,5)+1</f>
        <v>5</v>
      </c>
      <c r="R240" cm="1">
        <f t="array" ref="R240">INDEX($H$6:$H$68, INT((ROWS(R$6:R240)-1)/5)+1)</f>
        <v>2</v>
      </c>
      <c r="S240" cm="1">
        <f t="array" ref="S240">INDEX($I$6:$I$68, INT((ROWS(S$6:S240)-1)/5)+1)</f>
        <v>3</v>
      </c>
      <c r="U240" s="12">
        <v>44.65</v>
      </c>
    </row>
    <row r="241" spans="14:21" x14ac:dyDescent="0.25">
      <c r="N241" s="2" t="str">
        <f t="shared" si="8"/>
        <v>AS ID6</v>
      </c>
      <c r="O241" cm="1">
        <f t="array" ref="O241">INDEX($F$6:$F$68, INT((ROWS(O$6:O241)-1)/5)+1)</f>
        <v>16</v>
      </c>
      <c r="P241" cm="1">
        <f t="array" ref="P241">INDEX($G$6:$G$68, INT((ROWS(P$6:P241)-1)/5)+1)</f>
        <v>2</v>
      </c>
      <c r="Q241">
        <f>MOD(ROWS(Q$6:Q241)-1,5)+1</f>
        <v>1</v>
      </c>
      <c r="R241" cm="1">
        <f t="array" ref="R241">INDEX($H$6:$H$68, INT((ROWS(R$6:R241)-1)/5)+1)</f>
        <v>3</v>
      </c>
      <c r="S241" cm="1">
        <f t="array" ref="S241">INDEX($I$6:$I$68, INT((ROWS(S$6:S241)-1)/5)+1)</f>
        <v>3</v>
      </c>
      <c r="U241" s="12"/>
    </row>
    <row r="242" spans="14:21" x14ac:dyDescent="0.25">
      <c r="N242" s="2" t="str">
        <f t="shared" si="8"/>
        <v>AS ID6</v>
      </c>
      <c r="O242" cm="1">
        <f t="array" ref="O242">INDEX($F$6:$F$68, INT((ROWS(O$6:O242)-1)/5)+1)</f>
        <v>16</v>
      </c>
      <c r="P242" cm="1">
        <f t="array" ref="P242">INDEX($G$6:$G$68, INT((ROWS(P$6:P242)-1)/5)+1)</f>
        <v>2</v>
      </c>
      <c r="Q242">
        <f>MOD(ROWS(Q$6:Q242)-1,5)+1</f>
        <v>2</v>
      </c>
      <c r="R242" cm="1">
        <f t="array" ref="R242">INDEX($H$6:$H$68, INT((ROWS(R$6:R242)-1)/5)+1)</f>
        <v>3</v>
      </c>
      <c r="S242" cm="1">
        <f t="array" ref="S242">INDEX($I$6:$I$68, INT((ROWS(S$6:S242)-1)/5)+1)</f>
        <v>3</v>
      </c>
      <c r="U242" s="12"/>
    </row>
    <row r="243" spans="14:21" x14ac:dyDescent="0.25">
      <c r="N243" s="2" t="str">
        <f t="shared" si="8"/>
        <v>AS ID6</v>
      </c>
      <c r="O243" cm="1">
        <f t="array" ref="O243">INDEX($F$6:$F$68, INT((ROWS(O$6:O243)-1)/5)+1)</f>
        <v>16</v>
      </c>
      <c r="P243" cm="1">
        <f t="array" ref="P243">INDEX($G$6:$G$68, INT((ROWS(P$6:P243)-1)/5)+1)</f>
        <v>2</v>
      </c>
      <c r="Q243">
        <f>MOD(ROWS(Q$6:Q243)-1,5)+1</f>
        <v>3</v>
      </c>
      <c r="R243" cm="1">
        <f t="array" ref="R243">INDEX($H$6:$H$68, INT((ROWS(R$6:R243)-1)/5)+1)</f>
        <v>3</v>
      </c>
      <c r="S243" cm="1">
        <f t="array" ref="S243">INDEX($I$6:$I$68, INT((ROWS(S$6:S243)-1)/5)+1)</f>
        <v>3</v>
      </c>
      <c r="U243" s="12"/>
    </row>
    <row r="244" spans="14:21" x14ac:dyDescent="0.25">
      <c r="N244" s="2" t="str">
        <f t="shared" si="8"/>
        <v>AS ID6</v>
      </c>
      <c r="O244" cm="1">
        <f t="array" ref="O244">INDEX($F$6:$F$68, INT((ROWS(O$6:O244)-1)/5)+1)</f>
        <v>16</v>
      </c>
      <c r="P244" cm="1">
        <f t="array" ref="P244">INDEX($G$6:$G$68, INT((ROWS(P$6:P244)-1)/5)+1)</f>
        <v>2</v>
      </c>
      <c r="Q244">
        <f>MOD(ROWS(Q$6:Q244)-1,5)+1</f>
        <v>4</v>
      </c>
      <c r="R244" cm="1">
        <f t="array" ref="R244">INDEX($H$6:$H$68, INT((ROWS(R$6:R244)-1)/5)+1)</f>
        <v>3</v>
      </c>
      <c r="S244" cm="1">
        <f t="array" ref="S244">INDEX($I$6:$I$68, INT((ROWS(S$6:S244)-1)/5)+1)</f>
        <v>3</v>
      </c>
      <c r="U244" s="12"/>
    </row>
    <row r="245" spans="14:21" x14ac:dyDescent="0.25">
      <c r="N245" s="2" t="str">
        <f t="shared" si="8"/>
        <v>AS ID6</v>
      </c>
      <c r="O245" cm="1">
        <f t="array" ref="O245">INDEX($F$6:$F$68, INT((ROWS(O$6:O245)-1)/5)+1)</f>
        <v>16</v>
      </c>
      <c r="P245" cm="1">
        <f t="array" ref="P245">INDEX($G$6:$G$68, INT((ROWS(P$6:P245)-1)/5)+1)</f>
        <v>2</v>
      </c>
      <c r="Q245">
        <f>MOD(ROWS(Q$6:Q245)-1,5)+1</f>
        <v>5</v>
      </c>
      <c r="R245" cm="1">
        <f t="array" ref="R245">INDEX($H$6:$H$68, INT((ROWS(R$6:R245)-1)/5)+1)</f>
        <v>3</v>
      </c>
      <c r="S245" cm="1">
        <f t="array" ref="S245">INDEX($I$6:$I$68, INT((ROWS(S$6:S245)-1)/5)+1)</f>
        <v>3</v>
      </c>
      <c r="U245" s="12"/>
    </row>
    <row r="246" spans="14:21" x14ac:dyDescent="0.25">
      <c r="N246" s="2" t="str">
        <f t="shared" si="8"/>
        <v>IA ID16</v>
      </c>
      <c r="O246" cm="1">
        <f t="array" ref="O246">INDEX($F$6:$F$68, INT((ROWS(O$6:O246)-1)/5)+1)</f>
        <v>17</v>
      </c>
      <c r="P246" cm="1">
        <f t="array" ref="P246">INDEX($G$6:$G$68, INT((ROWS(P$6:P246)-1)/5)+1)</f>
        <v>1</v>
      </c>
      <c r="Q246">
        <f>MOD(ROWS(Q$6:Q246)-1,5)+1</f>
        <v>1</v>
      </c>
      <c r="R246" cm="1">
        <f t="array" ref="R246">INDEX($H$6:$H$68, INT((ROWS(R$6:R246)-1)/5)+1)</f>
        <v>2</v>
      </c>
      <c r="S246" cm="1">
        <f t="array" ref="S246">INDEX($I$6:$I$68, INT((ROWS(S$6:S246)-1)/5)+1)</f>
        <v>3</v>
      </c>
      <c r="U246" s="12">
        <v>49.82</v>
      </c>
    </row>
    <row r="247" spans="14:21" x14ac:dyDescent="0.25">
      <c r="N247" s="2" t="str">
        <f t="shared" si="8"/>
        <v>IA ID16</v>
      </c>
      <c r="O247" cm="1">
        <f t="array" ref="O247">INDEX($F$6:$F$68, INT((ROWS(O$6:O247)-1)/5)+1)</f>
        <v>17</v>
      </c>
      <c r="P247" cm="1">
        <f t="array" ref="P247">INDEX($G$6:$G$68, INT((ROWS(P$6:P247)-1)/5)+1)</f>
        <v>1</v>
      </c>
      <c r="Q247">
        <f>MOD(ROWS(Q$6:Q247)-1,5)+1</f>
        <v>2</v>
      </c>
      <c r="R247" cm="1">
        <f t="array" ref="R247">INDEX($H$6:$H$68, INT((ROWS(R$6:R247)-1)/5)+1)</f>
        <v>2</v>
      </c>
      <c r="S247" cm="1">
        <f t="array" ref="S247">INDEX($I$6:$I$68, INT((ROWS(S$6:S247)-1)/5)+1)</f>
        <v>3</v>
      </c>
      <c r="U247" s="12">
        <v>46.03</v>
      </c>
    </row>
    <row r="248" spans="14:21" x14ac:dyDescent="0.25">
      <c r="N248" s="2" t="str">
        <f t="shared" si="8"/>
        <v>IA ID16</v>
      </c>
      <c r="O248" cm="1">
        <f t="array" ref="O248">INDEX($F$6:$F$68, INT((ROWS(O$6:O248)-1)/5)+1)</f>
        <v>17</v>
      </c>
      <c r="P248" cm="1">
        <f t="array" ref="P248">INDEX($G$6:$G$68, INT((ROWS(P$6:P248)-1)/5)+1)</f>
        <v>1</v>
      </c>
      <c r="Q248">
        <f>MOD(ROWS(Q$6:Q248)-1,5)+1</f>
        <v>3</v>
      </c>
      <c r="R248" cm="1">
        <f t="array" ref="R248">INDEX($H$6:$H$68, INT((ROWS(R$6:R248)-1)/5)+1)</f>
        <v>2</v>
      </c>
      <c r="S248" cm="1">
        <f t="array" ref="S248">INDEX($I$6:$I$68, INT((ROWS(S$6:S248)-1)/5)+1)</f>
        <v>3</v>
      </c>
      <c r="U248" s="12">
        <v>42.73</v>
      </c>
    </row>
    <row r="249" spans="14:21" x14ac:dyDescent="0.25">
      <c r="N249" s="2" t="str">
        <f t="shared" si="8"/>
        <v>IA ID16</v>
      </c>
      <c r="O249" cm="1">
        <f t="array" ref="O249">INDEX($F$6:$F$68, INT((ROWS(O$6:O249)-1)/5)+1)</f>
        <v>17</v>
      </c>
      <c r="P249" cm="1">
        <f t="array" ref="P249">INDEX($G$6:$G$68, INT((ROWS(P$6:P249)-1)/5)+1)</f>
        <v>1</v>
      </c>
      <c r="Q249">
        <f>MOD(ROWS(Q$6:Q249)-1,5)+1</f>
        <v>4</v>
      </c>
      <c r="R249" cm="1">
        <f t="array" ref="R249">INDEX($H$6:$H$68, INT((ROWS(R$6:R249)-1)/5)+1)</f>
        <v>2</v>
      </c>
      <c r="S249" cm="1">
        <f t="array" ref="S249">INDEX($I$6:$I$68, INT((ROWS(S$6:S249)-1)/5)+1)</f>
        <v>3</v>
      </c>
      <c r="U249" s="12">
        <v>44.59</v>
      </c>
    </row>
    <row r="250" spans="14:21" x14ac:dyDescent="0.25">
      <c r="N250" s="2" t="str">
        <f t="shared" si="8"/>
        <v>IA ID16</v>
      </c>
      <c r="O250" cm="1">
        <f t="array" ref="O250">INDEX($F$6:$F$68, INT((ROWS(O$6:O250)-1)/5)+1)</f>
        <v>17</v>
      </c>
      <c r="P250" cm="1">
        <f t="array" ref="P250">INDEX($G$6:$G$68, INT((ROWS(P$6:P250)-1)/5)+1)</f>
        <v>1</v>
      </c>
      <c r="Q250">
        <f>MOD(ROWS(Q$6:Q250)-1,5)+1</f>
        <v>5</v>
      </c>
      <c r="R250" cm="1">
        <f t="array" ref="R250">INDEX($H$6:$H$68, INT((ROWS(R$6:R250)-1)/5)+1)</f>
        <v>2</v>
      </c>
      <c r="S250" cm="1">
        <f t="array" ref="S250">INDEX($I$6:$I$68, INT((ROWS(S$6:S250)-1)/5)+1)</f>
        <v>3</v>
      </c>
      <c r="U250" s="12">
        <v>43.89</v>
      </c>
    </row>
    <row r="251" spans="14:21" x14ac:dyDescent="0.25">
      <c r="N251" s="2" t="str">
        <f t="shared" si="8"/>
        <v>IA ID16</v>
      </c>
      <c r="O251" cm="1">
        <f t="array" ref="O251">INDEX($F$6:$F$68, INT((ROWS(O$6:O251)-1)/5)+1)</f>
        <v>17</v>
      </c>
      <c r="P251" cm="1">
        <f t="array" ref="P251">INDEX($G$6:$G$68, INT((ROWS(P$6:P251)-1)/5)+1)</f>
        <v>2</v>
      </c>
      <c r="Q251">
        <f>MOD(ROWS(Q$6:Q251)-1,5)+1</f>
        <v>1</v>
      </c>
      <c r="R251" cm="1">
        <f t="array" ref="R251">INDEX($H$6:$H$68, INT((ROWS(R$6:R251)-1)/5)+1)</f>
        <v>3</v>
      </c>
      <c r="S251" cm="1">
        <f t="array" ref="S251">INDEX($I$6:$I$68, INT((ROWS(S$6:S251)-1)/5)+1)</f>
        <v>3</v>
      </c>
      <c r="U251" s="12">
        <v>60.04</v>
      </c>
    </row>
    <row r="252" spans="14:21" x14ac:dyDescent="0.25">
      <c r="N252" s="2" t="str">
        <f t="shared" si="8"/>
        <v>IA ID16</v>
      </c>
      <c r="O252" cm="1">
        <f t="array" ref="O252">INDEX($F$6:$F$68, INT((ROWS(O$6:O252)-1)/5)+1)</f>
        <v>17</v>
      </c>
      <c r="P252" cm="1">
        <f t="array" ref="P252">INDEX($G$6:$G$68, INT((ROWS(P$6:P252)-1)/5)+1)</f>
        <v>2</v>
      </c>
      <c r="Q252">
        <f>MOD(ROWS(Q$6:Q252)-1,5)+1</f>
        <v>2</v>
      </c>
      <c r="R252" cm="1">
        <f t="array" ref="R252">INDEX($H$6:$H$68, INT((ROWS(R$6:R252)-1)/5)+1)</f>
        <v>3</v>
      </c>
      <c r="S252" cm="1">
        <f t="array" ref="S252">INDEX($I$6:$I$68, INT((ROWS(S$6:S252)-1)/5)+1)</f>
        <v>3</v>
      </c>
      <c r="U252" s="12">
        <v>55.78</v>
      </c>
    </row>
    <row r="253" spans="14:21" x14ac:dyDescent="0.25">
      <c r="N253" s="2" t="str">
        <f t="shared" si="8"/>
        <v>IA ID16</v>
      </c>
      <c r="O253" cm="1">
        <f t="array" ref="O253">INDEX($F$6:$F$68, INT((ROWS(O$6:O253)-1)/5)+1)</f>
        <v>17</v>
      </c>
      <c r="P253" cm="1">
        <f t="array" ref="P253">INDEX($G$6:$G$68, INT((ROWS(P$6:P253)-1)/5)+1)</f>
        <v>2</v>
      </c>
      <c r="Q253">
        <f>MOD(ROWS(Q$6:Q253)-1,5)+1</f>
        <v>3</v>
      </c>
      <c r="R253" cm="1">
        <f t="array" ref="R253">INDEX($H$6:$H$68, INT((ROWS(R$6:R253)-1)/5)+1)</f>
        <v>3</v>
      </c>
      <c r="S253" cm="1">
        <f t="array" ref="S253">INDEX($I$6:$I$68, INT((ROWS(S$6:S253)-1)/5)+1)</f>
        <v>3</v>
      </c>
      <c r="U253" s="12">
        <v>65</v>
      </c>
    </row>
    <row r="254" spans="14:21" x14ac:dyDescent="0.25">
      <c r="N254" s="2" t="str">
        <f t="shared" si="8"/>
        <v>IA ID16</v>
      </c>
      <c r="O254" cm="1">
        <f t="array" ref="O254">INDEX($F$6:$F$68, INT((ROWS(O$6:O254)-1)/5)+1)</f>
        <v>17</v>
      </c>
      <c r="P254" cm="1">
        <f t="array" ref="P254">INDEX($G$6:$G$68, INT((ROWS(P$6:P254)-1)/5)+1)</f>
        <v>2</v>
      </c>
      <c r="Q254">
        <f>MOD(ROWS(Q$6:Q254)-1,5)+1</f>
        <v>4</v>
      </c>
      <c r="R254" cm="1">
        <f t="array" ref="R254">INDEX($H$6:$H$68, INT((ROWS(R$6:R254)-1)/5)+1)</f>
        <v>3</v>
      </c>
      <c r="S254" cm="1">
        <f t="array" ref="S254">INDEX($I$6:$I$68, INT((ROWS(S$6:S254)-1)/5)+1)</f>
        <v>3</v>
      </c>
      <c r="U254" s="12">
        <v>55.56</v>
      </c>
    </row>
    <row r="255" spans="14:21" x14ac:dyDescent="0.25">
      <c r="N255" s="2" t="str">
        <f t="shared" si="8"/>
        <v>IA ID16</v>
      </c>
      <c r="O255" cm="1">
        <f t="array" ref="O255">INDEX($F$6:$F$68, INT((ROWS(O$6:O255)-1)/5)+1)</f>
        <v>17</v>
      </c>
      <c r="P255" cm="1">
        <f t="array" ref="P255">INDEX($G$6:$G$68, INT((ROWS(P$6:P255)-1)/5)+1)</f>
        <v>2</v>
      </c>
      <c r="Q255">
        <f>MOD(ROWS(Q$6:Q255)-1,5)+1</f>
        <v>5</v>
      </c>
      <c r="R255" cm="1">
        <f t="array" ref="R255">INDEX($H$6:$H$68, INT((ROWS(R$6:R255)-1)/5)+1)</f>
        <v>3</v>
      </c>
      <c r="S255" cm="1">
        <f t="array" ref="S255">INDEX($I$6:$I$68, INT((ROWS(S$6:S255)-1)/5)+1)</f>
        <v>3</v>
      </c>
      <c r="U255" s="12">
        <v>54.2</v>
      </c>
    </row>
    <row r="256" spans="14:21" x14ac:dyDescent="0.25">
      <c r="N256" s="2" t="str">
        <f t="shared" si="8"/>
        <v>IA ID16</v>
      </c>
      <c r="O256" cm="1">
        <f t="array" ref="O256">INDEX($F$6:$F$68, INT((ROWS(O$6:O256)-1)/5)+1)</f>
        <v>17</v>
      </c>
      <c r="P256" cm="1">
        <f t="array" ref="P256">INDEX($G$6:$G$68, INT((ROWS(P$6:P256)-1)/5)+1)</f>
        <v>3</v>
      </c>
      <c r="Q256">
        <f>MOD(ROWS(Q$6:Q256)-1,5)+1</f>
        <v>1</v>
      </c>
      <c r="R256" cm="1">
        <f t="array" ref="R256">INDEX($H$6:$H$68, INT((ROWS(R$6:R256)-1)/5)+1)</f>
        <v>1</v>
      </c>
      <c r="S256" cm="1">
        <f t="array" ref="S256">INDEX($I$6:$I$68, INT((ROWS(S$6:S256)-1)/5)+1)</f>
        <v>3</v>
      </c>
      <c r="U256" s="12">
        <v>60.52</v>
      </c>
    </row>
    <row r="257" spans="14:24" x14ac:dyDescent="0.25">
      <c r="N257" s="2" t="str">
        <f t="shared" si="8"/>
        <v>IA ID16</v>
      </c>
      <c r="O257" cm="1">
        <f t="array" ref="O257">INDEX($F$6:$F$68, INT((ROWS(O$6:O257)-1)/5)+1)</f>
        <v>17</v>
      </c>
      <c r="P257" cm="1">
        <f t="array" ref="P257">INDEX($G$6:$G$68, INT((ROWS(P$6:P257)-1)/5)+1)</f>
        <v>3</v>
      </c>
      <c r="Q257">
        <f>MOD(ROWS(Q$6:Q257)-1,5)+1</f>
        <v>2</v>
      </c>
      <c r="R257" cm="1">
        <f t="array" ref="R257">INDEX($H$6:$H$68, INT((ROWS(R$6:R257)-1)/5)+1)</f>
        <v>1</v>
      </c>
      <c r="S257" cm="1">
        <f t="array" ref="S257">INDEX($I$6:$I$68, INT((ROWS(S$6:S257)-1)/5)+1)</f>
        <v>3</v>
      </c>
      <c r="U257" s="12">
        <v>56.38</v>
      </c>
    </row>
    <row r="258" spans="14:24" x14ac:dyDescent="0.25">
      <c r="N258" s="2" t="str">
        <f t="shared" si="8"/>
        <v>IA ID16</v>
      </c>
      <c r="O258" cm="1">
        <f t="array" ref="O258">INDEX($F$6:$F$68, INT((ROWS(O$6:O258)-1)/5)+1)</f>
        <v>17</v>
      </c>
      <c r="P258" cm="1">
        <f t="array" ref="P258">INDEX($G$6:$G$68, INT((ROWS(P$6:P258)-1)/5)+1)</f>
        <v>3</v>
      </c>
      <c r="Q258">
        <f>MOD(ROWS(Q$6:Q258)-1,5)+1</f>
        <v>3</v>
      </c>
      <c r="R258" cm="1">
        <f t="array" ref="R258">INDEX($H$6:$H$68, INT((ROWS(R$6:R258)-1)/5)+1)</f>
        <v>1</v>
      </c>
      <c r="S258" cm="1">
        <f t="array" ref="S258">INDEX($I$6:$I$68, INT((ROWS(S$6:S258)-1)/5)+1)</f>
        <v>3</v>
      </c>
      <c r="U258" s="12">
        <v>56.54</v>
      </c>
    </row>
    <row r="259" spans="14:24" x14ac:dyDescent="0.25">
      <c r="N259" s="2" t="str">
        <f t="shared" si="8"/>
        <v>IA ID16</v>
      </c>
      <c r="O259" cm="1">
        <f t="array" ref="O259">INDEX($F$6:$F$68, INT((ROWS(O$6:O259)-1)/5)+1)</f>
        <v>17</v>
      </c>
      <c r="P259" cm="1">
        <f t="array" ref="P259">INDEX($G$6:$G$68, INT((ROWS(P$6:P259)-1)/5)+1)</f>
        <v>3</v>
      </c>
      <c r="Q259">
        <f>MOD(ROWS(Q$6:Q259)-1,5)+1</f>
        <v>4</v>
      </c>
      <c r="R259" cm="1">
        <f t="array" ref="R259">INDEX($H$6:$H$68, INT((ROWS(R$6:R259)-1)/5)+1)</f>
        <v>1</v>
      </c>
      <c r="S259" cm="1">
        <f t="array" ref="S259">INDEX($I$6:$I$68, INT((ROWS(S$6:S259)-1)/5)+1)</f>
        <v>3</v>
      </c>
      <c r="U259" s="12">
        <v>55.03</v>
      </c>
    </row>
    <row r="260" spans="14:24" x14ac:dyDescent="0.25">
      <c r="N260" s="2" t="str">
        <f t="shared" si="8"/>
        <v>IA ID16</v>
      </c>
      <c r="O260" cm="1">
        <f t="array" ref="O260">INDEX($F$6:$F$68, INT((ROWS(O$6:O260)-1)/5)+1)</f>
        <v>17</v>
      </c>
      <c r="P260" cm="1">
        <f t="array" ref="P260">INDEX($G$6:$G$68, INT((ROWS(P$6:P260)-1)/5)+1)</f>
        <v>3</v>
      </c>
      <c r="Q260">
        <f>MOD(ROWS(Q$6:Q260)-1,5)+1</f>
        <v>5</v>
      </c>
      <c r="R260" cm="1">
        <f t="array" ref="R260">INDEX($H$6:$H$68, INT((ROWS(R$6:R260)-1)/5)+1)</f>
        <v>1</v>
      </c>
      <c r="S260" cm="1">
        <f t="array" ref="S260">INDEX($I$6:$I$68, INT((ROWS(S$6:S260)-1)/5)+1)</f>
        <v>3</v>
      </c>
      <c r="U260" s="12">
        <v>56.02</v>
      </c>
    </row>
    <row r="261" spans="14:24" x14ac:dyDescent="0.25">
      <c r="N261" s="2" t="str">
        <f t="shared" si="8"/>
        <v>MaL ID19</v>
      </c>
      <c r="O261" cm="1">
        <f t="array" ref="O261">INDEX($F$6:$F$68, INT((ROWS(O$6:O261)-1)/5)+1)</f>
        <v>18</v>
      </c>
      <c r="P261" cm="1">
        <f t="array" ref="P261">INDEX($G$6:$G$68, INT((ROWS(P$6:P261)-1)/5)+1)</f>
        <v>2</v>
      </c>
      <c r="Q261">
        <f>MOD(ROWS(Q$6:Q261)-1,5)+1</f>
        <v>1</v>
      </c>
      <c r="R261" cm="1">
        <f t="array" ref="R261">INDEX($H$6:$H$68, INT((ROWS(R$6:R261)-1)/5)+1)</f>
        <v>3</v>
      </c>
      <c r="S261" cm="1">
        <f t="array" ref="S261">INDEX($I$6:$I$68, INT((ROWS(S$6:S261)-1)/5)+1)</f>
        <v>3</v>
      </c>
      <c r="U261" s="12">
        <v>70</v>
      </c>
      <c r="X261" t="s">
        <v>34</v>
      </c>
    </row>
    <row r="262" spans="14:24" x14ac:dyDescent="0.25">
      <c r="N262" s="2" t="str">
        <f t="shared" si="8"/>
        <v>MaL ID19</v>
      </c>
      <c r="O262" cm="1">
        <f t="array" ref="O262">INDEX($F$6:$F$68, INT((ROWS(O$6:O262)-1)/5)+1)</f>
        <v>18</v>
      </c>
      <c r="P262" cm="1">
        <f t="array" ref="P262">INDEX($G$6:$G$68, INT((ROWS(P$6:P262)-1)/5)+1)</f>
        <v>2</v>
      </c>
      <c r="Q262">
        <f>MOD(ROWS(Q$6:Q262)-1,5)+1</f>
        <v>2</v>
      </c>
      <c r="R262" cm="1">
        <f t="array" ref="R262">INDEX($H$6:$H$68, INT((ROWS(R$6:R262)-1)/5)+1)</f>
        <v>3</v>
      </c>
      <c r="S262" cm="1">
        <f t="array" ref="S262">INDEX($I$6:$I$68, INT((ROWS(S$6:S262)-1)/5)+1)</f>
        <v>3</v>
      </c>
      <c r="U262" s="12">
        <v>70</v>
      </c>
      <c r="X262" t="s">
        <v>35</v>
      </c>
    </row>
    <row r="263" spans="14:24" x14ac:dyDescent="0.25">
      <c r="N263" s="2" t="str">
        <f t="shared" ref="N263:N320" si="9">INDEX($B$6:$B$26, MATCH(O263, $A$6:$A$26, 0))</f>
        <v>MaL ID19</v>
      </c>
      <c r="O263" cm="1">
        <f t="array" ref="O263">INDEX($F$6:$F$68, INT((ROWS(O$6:O263)-1)/5)+1)</f>
        <v>18</v>
      </c>
      <c r="P263" cm="1">
        <f t="array" ref="P263">INDEX($G$6:$G$68, INT((ROWS(P$6:P263)-1)/5)+1)</f>
        <v>2</v>
      </c>
      <c r="Q263">
        <f>MOD(ROWS(Q$6:Q263)-1,5)+1</f>
        <v>3</v>
      </c>
      <c r="R263" cm="1">
        <f t="array" ref="R263">INDEX($H$6:$H$68, INT((ROWS(R$6:R263)-1)/5)+1)</f>
        <v>3</v>
      </c>
      <c r="S263" cm="1">
        <f t="array" ref="S263">INDEX($I$6:$I$68, INT((ROWS(S$6:S263)-1)/5)+1)</f>
        <v>3</v>
      </c>
      <c r="U263" s="12">
        <v>74.95</v>
      </c>
    </row>
    <row r="264" spans="14:24" x14ac:dyDescent="0.25">
      <c r="N264" s="2" t="str">
        <f t="shared" si="9"/>
        <v>MaL ID19</v>
      </c>
      <c r="O264" cm="1">
        <f t="array" ref="O264">INDEX($F$6:$F$68, INT((ROWS(O$6:O264)-1)/5)+1)</f>
        <v>18</v>
      </c>
      <c r="P264" cm="1">
        <f t="array" ref="P264">INDEX($G$6:$G$68, INT((ROWS(P$6:P264)-1)/5)+1)</f>
        <v>2</v>
      </c>
      <c r="Q264">
        <f>MOD(ROWS(Q$6:Q264)-1,5)+1</f>
        <v>4</v>
      </c>
      <c r="R264" cm="1">
        <f t="array" ref="R264">INDEX($H$6:$H$68, INT((ROWS(R$6:R264)-1)/5)+1)</f>
        <v>3</v>
      </c>
      <c r="S264" cm="1">
        <f t="array" ref="S264">INDEX($I$6:$I$68, INT((ROWS(S$6:S264)-1)/5)+1)</f>
        <v>3</v>
      </c>
      <c r="U264" s="12">
        <v>63.85</v>
      </c>
    </row>
    <row r="265" spans="14:24" x14ac:dyDescent="0.25">
      <c r="N265" s="2" t="str">
        <f t="shared" si="9"/>
        <v>MaL ID19</v>
      </c>
      <c r="O265" cm="1">
        <f t="array" ref="O265">INDEX($F$6:$F$68, INT((ROWS(O$6:O265)-1)/5)+1)</f>
        <v>18</v>
      </c>
      <c r="P265" cm="1">
        <f t="array" ref="P265">INDEX($G$6:$G$68, INT((ROWS(P$6:P265)-1)/5)+1)</f>
        <v>2</v>
      </c>
      <c r="Q265">
        <f>MOD(ROWS(Q$6:Q265)-1,5)+1</f>
        <v>5</v>
      </c>
      <c r="R265" cm="1">
        <f t="array" ref="R265">INDEX($H$6:$H$68, INT((ROWS(R$6:R265)-1)/5)+1)</f>
        <v>3</v>
      </c>
      <c r="S265" cm="1">
        <f t="array" ref="S265">INDEX($I$6:$I$68, INT((ROWS(S$6:S265)-1)/5)+1)</f>
        <v>3</v>
      </c>
      <c r="U265" s="12">
        <v>64.849999999999994</v>
      </c>
    </row>
    <row r="266" spans="14:24" x14ac:dyDescent="0.25">
      <c r="N266" s="2" t="str">
        <f t="shared" si="9"/>
        <v>MaL ID19</v>
      </c>
      <c r="O266" cm="1">
        <f t="array" ref="O266">INDEX($F$6:$F$68, INT((ROWS(O$6:O266)-1)/5)+1)</f>
        <v>18</v>
      </c>
      <c r="P266" cm="1">
        <f t="array" ref="P266">INDEX($G$6:$G$68, INT((ROWS(P$6:P266)-1)/5)+1)</f>
        <v>3</v>
      </c>
      <c r="Q266">
        <f>MOD(ROWS(Q$6:Q266)-1,5)+1</f>
        <v>1</v>
      </c>
      <c r="R266" cm="1">
        <f t="array" ref="R266">INDEX($H$6:$H$68, INT((ROWS(R$6:R266)-1)/5)+1)</f>
        <v>1</v>
      </c>
      <c r="S266" cm="1">
        <f t="array" ref="S266">INDEX($I$6:$I$68, INT((ROWS(S$6:S266)-1)/5)+1)</f>
        <v>3</v>
      </c>
      <c r="U266" s="12">
        <v>76.91</v>
      </c>
    </row>
    <row r="267" spans="14:24" x14ac:dyDescent="0.25">
      <c r="N267" s="2" t="str">
        <f t="shared" si="9"/>
        <v>MaL ID19</v>
      </c>
      <c r="O267" cm="1">
        <f t="array" ref="O267">INDEX($F$6:$F$68, INT((ROWS(O$6:O267)-1)/5)+1)</f>
        <v>18</v>
      </c>
      <c r="P267" cm="1">
        <f t="array" ref="P267">INDEX($G$6:$G$68, INT((ROWS(P$6:P267)-1)/5)+1)</f>
        <v>3</v>
      </c>
      <c r="Q267">
        <f>MOD(ROWS(Q$6:Q267)-1,5)+1</f>
        <v>2</v>
      </c>
      <c r="R267" cm="1">
        <f t="array" ref="R267">INDEX($H$6:$H$68, INT((ROWS(R$6:R267)-1)/5)+1)</f>
        <v>1</v>
      </c>
      <c r="S267" cm="1">
        <f t="array" ref="S267">INDEX($I$6:$I$68, INT((ROWS(S$6:S267)-1)/5)+1)</f>
        <v>3</v>
      </c>
      <c r="U267" s="12">
        <v>64.11</v>
      </c>
    </row>
    <row r="268" spans="14:24" x14ac:dyDescent="0.25">
      <c r="N268" s="2" t="str">
        <f t="shared" si="9"/>
        <v>MaL ID19</v>
      </c>
      <c r="O268" cm="1">
        <f t="array" ref="O268">INDEX($F$6:$F$68, INT((ROWS(O$6:O268)-1)/5)+1)</f>
        <v>18</v>
      </c>
      <c r="P268" cm="1">
        <f t="array" ref="P268">INDEX($G$6:$G$68, INT((ROWS(P$6:P268)-1)/5)+1)</f>
        <v>3</v>
      </c>
      <c r="Q268">
        <f>MOD(ROWS(Q$6:Q268)-1,5)+1</f>
        <v>3</v>
      </c>
      <c r="R268" cm="1">
        <f t="array" ref="R268">INDEX($H$6:$H$68, INT((ROWS(R$6:R268)-1)/5)+1)</f>
        <v>1</v>
      </c>
      <c r="S268" cm="1">
        <f t="array" ref="S268">INDEX($I$6:$I$68, INT((ROWS(S$6:S268)-1)/5)+1)</f>
        <v>3</v>
      </c>
      <c r="U268" s="12">
        <v>68.040000000000006</v>
      </c>
    </row>
    <row r="269" spans="14:24" x14ac:dyDescent="0.25">
      <c r="N269" s="2" t="str">
        <f t="shared" si="9"/>
        <v>MaL ID19</v>
      </c>
      <c r="O269" cm="1">
        <f t="array" ref="O269">INDEX($F$6:$F$68, INT((ROWS(O$6:O269)-1)/5)+1)</f>
        <v>18</v>
      </c>
      <c r="P269" cm="1">
        <f t="array" ref="P269">INDEX($G$6:$G$68, INT((ROWS(P$6:P269)-1)/5)+1)</f>
        <v>3</v>
      </c>
      <c r="Q269">
        <f>MOD(ROWS(Q$6:Q269)-1,5)+1</f>
        <v>4</v>
      </c>
      <c r="R269" cm="1">
        <f t="array" ref="R269">INDEX($H$6:$H$68, INT((ROWS(R$6:R269)-1)/5)+1)</f>
        <v>1</v>
      </c>
      <c r="S269" cm="1">
        <f t="array" ref="S269">INDEX($I$6:$I$68, INT((ROWS(S$6:S269)-1)/5)+1)</f>
        <v>3</v>
      </c>
      <c r="U269" s="12">
        <v>64.88</v>
      </c>
    </row>
    <row r="270" spans="14:24" x14ac:dyDescent="0.25">
      <c r="N270" s="2" t="str">
        <f t="shared" si="9"/>
        <v>MaL ID19</v>
      </c>
      <c r="O270" cm="1">
        <f t="array" ref="O270">INDEX($F$6:$F$68, INT((ROWS(O$6:O270)-1)/5)+1)</f>
        <v>18</v>
      </c>
      <c r="P270" cm="1">
        <f t="array" ref="P270">INDEX($G$6:$G$68, INT((ROWS(P$6:P270)-1)/5)+1)</f>
        <v>3</v>
      </c>
      <c r="Q270">
        <f>MOD(ROWS(Q$6:Q270)-1,5)+1</f>
        <v>5</v>
      </c>
      <c r="R270" cm="1">
        <f t="array" ref="R270">INDEX($H$6:$H$68, INT((ROWS(R$6:R270)-1)/5)+1)</f>
        <v>1</v>
      </c>
      <c r="S270" cm="1">
        <f t="array" ref="S270">INDEX($I$6:$I$68, INT((ROWS(S$6:S270)-1)/5)+1)</f>
        <v>3</v>
      </c>
      <c r="U270" s="12">
        <v>64.400000000000006</v>
      </c>
    </row>
    <row r="271" spans="14:24" x14ac:dyDescent="0.25">
      <c r="N271" s="2" t="str">
        <f t="shared" si="9"/>
        <v>MaL ID19</v>
      </c>
      <c r="O271" cm="1">
        <f t="array" ref="O271">INDEX($F$6:$F$68, INT((ROWS(O$6:O271)-1)/5)+1)</f>
        <v>18</v>
      </c>
      <c r="P271" cm="1">
        <f t="array" ref="P271">INDEX($G$6:$G$68, INT((ROWS(P$6:P271)-1)/5)+1)</f>
        <v>1</v>
      </c>
      <c r="Q271">
        <f>MOD(ROWS(Q$6:Q271)-1,5)+1</f>
        <v>1</v>
      </c>
      <c r="R271" cm="1">
        <f t="array" ref="R271">INDEX($H$6:$H$68, INT((ROWS(R$6:R271)-1)/5)+1)</f>
        <v>2</v>
      </c>
      <c r="S271" cm="1">
        <f t="array" ref="S271">INDEX($I$6:$I$68, INT((ROWS(S$6:S271)-1)/5)+1)</f>
        <v>3</v>
      </c>
      <c r="U271" s="12">
        <v>51.76</v>
      </c>
    </row>
    <row r="272" spans="14:24" x14ac:dyDescent="0.25">
      <c r="N272" s="2" t="str">
        <f t="shared" si="9"/>
        <v>MaL ID19</v>
      </c>
      <c r="O272" cm="1">
        <f t="array" ref="O272">INDEX($F$6:$F$68, INT((ROWS(O$6:O272)-1)/5)+1)</f>
        <v>18</v>
      </c>
      <c r="P272" cm="1">
        <f t="array" ref="P272">INDEX($G$6:$G$68, INT((ROWS(P$6:P272)-1)/5)+1)</f>
        <v>1</v>
      </c>
      <c r="Q272">
        <f>MOD(ROWS(Q$6:Q272)-1,5)+1</f>
        <v>2</v>
      </c>
      <c r="R272" cm="1">
        <f t="array" ref="R272">INDEX($H$6:$H$68, INT((ROWS(R$6:R272)-1)/5)+1)</f>
        <v>2</v>
      </c>
      <c r="S272" cm="1">
        <f t="array" ref="S272">INDEX($I$6:$I$68, INT((ROWS(S$6:S272)-1)/5)+1)</f>
        <v>3</v>
      </c>
      <c r="U272" s="12">
        <v>48.45</v>
      </c>
    </row>
    <row r="273" spans="14:21" x14ac:dyDescent="0.25">
      <c r="N273" s="2" t="str">
        <f t="shared" si="9"/>
        <v>MaL ID19</v>
      </c>
      <c r="O273" cm="1">
        <f t="array" ref="O273">INDEX($F$6:$F$68, INT((ROWS(O$6:O273)-1)/5)+1)</f>
        <v>18</v>
      </c>
      <c r="P273" cm="1">
        <f t="array" ref="P273">INDEX($G$6:$G$68, INT((ROWS(P$6:P273)-1)/5)+1)</f>
        <v>1</v>
      </c>
      <c r="Q273">
        <f>MOD(ROWS(Q$6:Q273)-1,5)+1</f>
        <v>3</v>
      </c>
      <c r="R273" cm="1">
        <f t="array" ref="R273">INDEX($H$6:$H$68, INT((ROWS(R$6:R273)-1)/5)+1)</f>
        <v>2</v>
      </c>
      <c r="S273" cm="1">
        <f t="array" ref="S273">INDEX($I$6:$I$68, INT((ROWS(S$6:S273)-1)/5)+1)</f>
        <v>3</v>
      </c>
      <c r="U273" s="12">
        <v>48.12</v>
      </c>
    </row>
    <row r="274" spans="14:21" x14ac:dyDescent="0.25">
      <c r="N274" s="2" t="str">
        <f t="shared" si="9"/>
        <v>MaL ID19</v>
      </c>
      <c r="O274" cm="1">
        <f t="array" ref="O274">INDEX($F$6:$F$68, INT((ROWS(O$6:O274)-1)/5)+1)</f>
        <v>18</v>
      </c>
      <c r="P274" cm="1">
        <f t="array" ref="P274">INDEX($G$6:$G$68, INT((ROWS(P$6:P274)-1)/5)+1)</f>
        <v>1</v>
      </c>
      <c r="Q274">
        <f>MOD(ROWS(Q$6:Q274)-1,5)+1</f>
        <v>4</v>
      </c>
      <c r="R274" cm="1">
        <f t="array" ref="R274">INDEX($H$6:$H$68, INT((ROWS(R$6:R274)-1)/5)+1)</f>
        <v>2</v>
      </c>
      <c r="S274" cm="1">
        <f t="array" ref="S274">INDEX($I$6:$I$68, INT((ROWS(S$6:S274)-1)/5)+1)</f>
        <v>3</v>
      </c>
      <c r="U274" s="12">
        <v>47.78</v>
      </c>
    </row>
    <row r="275" spans="14:21" x14ac:dyDescent="0.25">
      <c r="N275" s="2" t="str">
        <f t="shared" si="9"/>
        <v>MaL ID19</v>
      </c>
      <c r="O275" cm="1">
        <f t="array" ref="O275">INDEX($F$6:$F$68, INT((ROWS(O$6:O275)-1)/5)+1)</f>
        <v>18</v>
      </c>
      <c r="P275" cm="1">
        <f t="array" ref="P275">INDEX($G$6:$G$68, INT((ROWS(P$6:P275)-1)/5)+1)</f>
        <v>1</v>
      </c>
      <c r="Q275">
        <f>MOD(ROWS(Q$6:Q275)-1,5)+1</f>
        <v>5</v>
      </c>
      <c r="R275" cm="1">
        <f t="array" ref="R275">INDEX($H$6:$H$68, INT((ROWS(R$6:R275)-1)/5)+1)</f>
        <v>2</v>
      </c>
      <c r="S275" cm="1">
        <f t="array" ref="S275">INDEX($I$6:$I$68, INT((ROWS(S$6:S275)-1)/5)+1)</f>
        <v>3</v>
      </c>
      <c r="U275" s="12">
        <v>45.45</v>
      </c>
    </row>
    <row r="276" spans="14:21" x14ac:dyDescent="0.25">
      <c r="N276" s="2" t="str">
        <f t="shared" si="9"/>
        <v>NP ID20</v>
      </c>
      <c r="O276" cm="1">
        <f t="array" ref="O276">INDEX($F$6:$F$68, INT((ROWS(O$6:O276)-1)/5)+1)</f>
        <v>19</v>
      </c>
      <c r="P276" cm="1">
        <f t="array" ref="P276">INDEX($G$6:$G$68, INT((ROWS(P$6:P276)-1)/5)+1)</f>
        <v>1</v>
      </c>
      <c r="Q276">
        <f>MOD(ROWS(Q$6:Q276)-1,5)+1</f>
        <v>1</v>
      </c>
      <c r="R276" cm="1">
        <f t="array" ref="R276">INDEX($H$6:$H$68, INT((ROWS(R$6:R276)-1)/5)+1)</f>
        <v>1</v>
      </c>
      <c r="S276" cm="1">
        <f t="array" ref="S276">INDEX($I$6:$I$68, INT((ROWS(S$6:S276)-1)/5)+1)</f>
        <v>3</v>
      </c>
      <c r="U276" s="12">
        <v>64</v>
      </c>
    </row>
    <row r="277" spans="14:21" x14ac:dyDescent="0.25">
      <c r="N277" s="2" t="str">
        <f t="shared" si="9"/>
        <v>NP ID20</v>
      </c>
      <c r="O277" cm="1">
        <f t="array" ref="O277">INDEX($F$6:$F$68, INT((ROWS(O$6:O277)-1)/5)+1)</f>
        <v>19</v>
      </c>
      <c r="P277" cm="1">
        <f t="array" ref="P277">INDEX($G$6:$G$68, INT((ROWS(P$6:P277)-1)/5)+1)</f>
        <v>1</v>
      </c>
      <c r="Q277">
        <f>MOD(ROWS(Q$6:Q277)-1,5)+1</f>
        <v>2</v>
      </c>
      <c r="R277" cm="1">
        <f t="array" ref="R277">INDEX($H$6:$H$68, INT((ROWS(R$6:R277)-1)/5)+1)</f>
        <v>1</v>
      </c>
      <c r="S277" cm="1">
        <f t="array" ref="S277">INDEX($I$6:$I$68, INT((ROWS(S$6:S277)-1)/5)+1)</f>
        <v>3</v>
      </c>
      <c r="U277" s="12">
        <v>51.63</v>
      </c>
    </row>
    <row r="278" spans="14:21" x14ac:dyDescent="0.25">
      <c r="N278" s="2" t="str">
        <f t="shared" si="9"/>
        <v>NP ID20</v>
      </c>
      <c r="O278" cm="1">
        <f t="array" ref="O278">INDEX($F$6:$F$68, INT((ROWS(O$6:O278)-1)/5)+1)</f>
        <v>19</v>
      </c>
      <c r="P278" cm="1">
        <f t="array" ref="P278">INDEX($G$6:$G$68, INT((ROWS(P$6:P278)-1)/5)+1)</f>
        <v>1</v>
      </c>
      <c r="Q278">
        <f>MOD(ROWS(Q$6:Q278)-1,5)+1</f>
        <v>3</v>
      </c>
      <c r="R278" cm="1">
        <f t="array" ref="R278">INDEX($H$6:$H$68, INT((ROWS(R$6:R278)-1)/5)+1)</f>
        <v>1</v>
      </c>
      <c r="S278" cm="1">
        <f t="array" ref="S278">INDEX($I$6:$I$68, INT((ROWS(S$6:S278)-1)/5)+1)</f>
        <v>3</v>
      </c>
      <c r="U278" s="12">
        <v>54.36</v>
      </c>
    </row>
    <row r="279" spans="14:21" x14ac:dyDescent="0.25">
      <c r="N279" s="2" t="str">
        <f t="shared" si="9"/>
        <v>NP ID20</v>
      </c>
      <c r="O279" cm="1">
        <f t="array" ref="O279">INDEX($F$6:$F$68, INT((ROWS(O$6:O279)-1)/5)+1)</f>
        <v>19</v>
      </c>
      <c r="P279" cm="1">
        <f t="array" ref="P279">INDEX($G$6:$G$68, INT((ROWS(P$6:P279)-1)/5)+1)</f>
        <v>1</v>
      </c>
      <c r="Q279">
        <f>MOD(ROWS(Q$6:Q279)-1,5)+1</f>
        <v>4</v>
      </c>
      <c r="R279" cm="1">
        <f t="array" ref="R279">INDEX($H$6:$H$68, INT((ROWS(R$6:R279)-1)/5)+1)</f>
        <v>1</v>
      </c>
      <c r="S279" cm="1">
        <f t="array" ref="S279">INDEX($I$6:$I$68, INT((ROWS(S$6:S279)-1)/5)+1)</f>
        <v>3</v>
      </c>
      <c r="U279" s="12">
        <v>52.93</v>
      </c>
    </row>
    <row r="280" spans="14:21" x14ac:dyDescent="0.25">
      <c r="N280" s="2" t="str">
        <f t="shared" si="9"/>
        <v>NP ID20</v>
      </c>
      <c r="O280" cm="1">
        <f t="array" ref="O280">INDEX($F$6:$F$68, INT((ROWS(O$6:O280)-1)/5)+1)</f>
        <v>19</v>
      </c>
      <c r="P280" cm="1">
        <f t="array" ref="P280">INDEX($G$6:$G$68, INT((ROWS(P$6:P280)-1)/5)+1)</f>
        <v>1</v>
      </c>
      <c r="Q280">
        <f>MOD(ROWS(Q$6:Q280)-1,5)+1</f>
        <v>5</v>
      </c>
      <c r="R280" cm="1">
        <f t="array" ref="R280">INDEX($H$6:$H$68, INT((ROWS(R$6:R280)-1)/5)+1)</f>
        <v>1</v>
      </c>
      <c r="S280" cm="1">
        <f t="array" ref="S280">INDEX($I$6:$I$68, INT((ROWS(S$6:S280)-1)/5)+1)</f>
        <v>3</v>
      </c>
      <c r="U280" s="12">
        <v>51.12</v>
      </c>
    </row>
    <row r="281" spans="14:21" x14ac:dyDescent="0.25">
      <c r="N281" s="2" t="str">
        <f t="shared" si="9"/>
        <v>NP ID20</v>
      </c>
      <c r="O281" cm="1">
        <f t="array" ref="O281">INDEX($F$6:$F$68, INT((ROWS(O$6:O281)-1)/5)+1)</f>
        <v>19</v>
      </c>
      <c r="P281" cm="1">
        <f t="array" ref="P281">INDEX($G$6:$G$68, INT((ROWS(P$6:P281)-1)/5)+1)</f>
        <v>2</v>
      </c>
      <c r="Q281">
        <f>MOD(ROWS(Q$6:Q281)-1,5)+1</f>
        <v>1</v>
      </c>
      <c r="R281" cm="1">
        <f t="array" ref="R281">INDEX($H$6:$H$68, INT((ROWS(R$6:R281)-1)/5)+1)</f>
        <v>2</v>
      </c>
      <c r="S281" cm="1">
        <f t="array" ref="S281">INDEX($I$6:$I$68, INT((ROWS(S$6:S281)-1)/5)+1)</f>
        <v>3</v>
      </c>
      <c r="U281" s="12">
        <v>85.88</v>
      </c>
    </row>
    <row r="282" spans="14:21" x14ac:dyDescent="0.25">
      <c r="N282" s="2" t="str">
        <f t="shared" si="9"/>
        <v>NP ID20</v>
      </c>
      <c r="O282" cm="1">
        <f t="array" ref="O282">INDEX($F$6:$F$68, INT((ROWS(O$6:O282)-1)/5)+1)</f>
        <v>19</v>
      </c>
      <c r="P282" cm="1">
        <f t="array" ref="P282">INDEX($G$6:$G$68, INT((ROWS(P$6:P282)-1)/5)+1)</f>
        <v>2</v>
      </c>
      <c r="Q282">
        <f>MOD(ROWS(Q$6:Q282)-1,5)+1</f>
        <v>2</v>
      </c>
      <c r="R282" cm="1">
        <f t="array" ref="R282">INDEX($H$6:$H$68, INT((ROWS(R$6:R282)-1)/5)+1)</f>
        <v>2</v>
      </c>
      <c r="S282" cm="1">
        <f t="array" ref="S282">INDEX($I$6:$I$68, INT((ROWS(S$6:S282)-1)/5)+1)</f>
        <v>3</v>
      </c>
      <c r="U282" s="12">
        <v>70.98</v>
      </c>
    </row>
    <row r="283" spans="14:21" x14ac:dyDescent="0.25">
      <c r="N283" s="2" t="str">
        <f t="shared" si="9"/>
        <v>NP ID20</v>
      </c>
      <c r="O283" cm="1">
        <f t="array" ref="O283">INDEX($F$6:$F$68, INT((ROWS(O$6:O283)-1)/5)+1)</f>
        <v>19</v>
      </c>
      <c r="P283" cm="1">
        <f t="array" ref="P283">INDEX($G$6:$G$68, INT((ROWS(P$6:P283)-1)/5)+1)</f>
        <v>2</v>
      </c>
      <c r="Q283">
        <f>MOD(ROWS(Q$6:Q283)-1,5)+1</f>
        <v>3</v>
      </c>
      <c r="R283" cm="1">
        <f t="array" ref="R283">INDEX($H$6:$H$68, INT((ROWS(R$6:R283)-1)/5)+1)</f>
        <v>2</v>
      </c>
      <c r="S283" cm="1">
        <f t="array" ref="S283">INDEX($I$6:$I$68, INT((ROWS(S$6:S283)-1)/5)+1)</f>
        <v>3</v>
      </c>
      <c r="U283" s="12">
        <v>71.72</v>
      </c>
    </row>
    <row r="284" spans="14:21" x14ac:dyDescent="0.25">
      <c r="N284" s="2" t="str">
        <f t="shared" si="9"/>
        <v>NP ID20</v>
      </c>
      <c r="O284" cm="1">
        <f t="array" ref="O284">INDEX($F$6:$F$68, INT((ROWS(O$6:O284)-1)/5)+1)</f>
        <v>19</v>
      </c>
      <c r="P284" cm="1">
        <f t="array" ref="P284">INDEX($G$6:$G$68, INT((ROWS(P$6:P284)-1)/5)+1)</f>
        <v>2</v>
      </c>
      <c r="Q284">
        <f>MOD(ROWS(Q$6:Q284)-1,5)+1</f>
        <v>4</v>
      </c>
      <c r="R284" cm="1">
        <f t="array" ref="R284">INDEX($H$6:$H$68, INT((ROWS(R$6:R284)-1)/5)+1)</f>
        <v>2</v>
      </c>
      <c r="S284" cm="1">
        <f t="array" ref="S284">INDEX($I$6:$I$68, INT((ROWS(S$6:S284)-1)/5)+1)</f>
        <v>3</v>
      </c>
      <c r="U284" s="12">
        <v>72.09</v>
      </c>
    </row>
    <row r="285" spans="14:21" x14ac:dyDescent="0.25">
      <c r="N285" s="2" t="str">
        <f t="shared" si="9"/>
        <v>NP ID20</v>
      </c>
      <c r="O285" cm="1">
        <f t="array" ref="O285">INDEX($F$6:$F$68, INT((ROWS(O$6:O285)-1)/5)+1)</f>
        <v>19</v>
      </c>
      <c r="P285" cm="1">
        <f t="array" ref="P285">INDEX($G$6:$G$68, INT((ROWS(P$6:P285)-1)/5)+1)</f>
        <v>2</v>
      </c>
      <c r="Q285">
        <f>MOD(ROWS(Q$6:Q285)-1,5)+1</f>
        <v>5</v>
      </c>
      <c r="R285" cm="1">
        <f t="array" ref="R285">INDEX($H$6:$H$68, INT((ROWS(R$6:R285)-1)/5)+1)</f>
        <v>2</v>
      </c>
      <c r="S285" cm="1">
        <f t="array" ref="S285">INDEX($I$6:$I$68, INT((ROWS(S$6:S285)-1)/5)+1)</f>
        <v>3</v>
      </c>
      <c r="U285" s="12">
        <v>71.819999999999993</v>
      </c>
    </row>
    <row r="286" spans="14:21" x14ac:dyDescent="0.25">
      <c r="N286" s="2" t="str">
        <f t="shared" si="9"/>
        <v>NP ID20</v>
      </c>
      <c r="O286" cm="1">
        <f t="array" ref="O286">INDEX($F$6:$F$68, INT((ROWS(O$6:O286)-1)/5)+1)</f>
        <v>19</v>
      </c>
      <c r="P286" cm="1">
        <f t="array" ref="P286">INDEX($G$6:$G$68, INT((ROWS(P$6:P286)-1)/5)+1)</f>
        <v>3</v>
      </c>
      <c r="Q286">
        <f>MOD(ROWS(Q$6:Q286)-1,5)+1</f>
        <v>1</v>
      </c>
      <c r="R286" cm="1">
        <f t="array" ref="R286">INDEX($H$6:$H$68, INT((ROWS(R$6:R286)-1)/5)+1)</f>
        <v>3</v>
      </c>
      <c r="S286" cm="1">
        <f t="array" ref="S286">INDEX($I$6:$I$68, INT((ROWS(S$6:S286)-1)/5)+1)</f>
        <v>3</v>
      </c>
      <c r="U286" s="12">
        <v>72.040000000000006</v>
      </c>
    </row>
    <row r="287" spans="14:21" x14ac:dyDescent="0.25">
      <c r="N287" s="2" t="str">
        <f t="shared" si="9"/>
        <v>NP ID20</v>
      </c>
      <c r="O287" cm="1">
        <f t="array" ref="O287">INDEX($F$6:$F$68, INT((ROWS(O$6:O287)-1)/5)+1)</f>
        <v>19</v>
      </c>
      <c r="P287" cm="1">
        <f t="array" ref="P287">INDEX($G$6:$G$68, INT((ROWS(P$6:P287)-1)/5)+1)</f>
        <v>3</v>
      </c>
      <c r="Q287">
        <f>MOD(ROWS(Q$6:Q287)-1,5)+1</f>
        <v>2</v>
      </c>
      <c r="R287" cm="1">
        <f t="array" ref="R287">INDEX($H$6:$H$68, INT((ROWS(R$6:R287)-1)/5)+1)</f>
        <v>3</v>
      </c>
      <c r="S287" cm="1">
        <f t="array" ref="S287">INDEX($I$6:$I$68, INT((ROWS(S$6:S287)-1)/5)+1)</f>
        <v>3</v>
      </c>
      <c r="U287" s="12">
        <v>68.48</v>
      </c>
    </row>
    <row r="288" spans="14:21" x14ac:dyDescent="0.25">
      <c r="N288" s="2" t="str">
        <f t="shared" si="9"/>
        <v>NP ID20</v>
      </c>
      <c r="O288" cm="1">
        <f t="array" ref="O288">INDEX($F$6:$F$68, INT((ROWS(O$6:O288)-1)/5)+1)</f>
        <v>19</v>
      </c>
      <c r="P288" cm="1">
        <f t="array" ref="P288">INDEX($G$6:$G$68, INT((ROWS(P$6:P288)-1)/5)+1)</f>
        <v>3</v>
      </c>
      <c r="Q288">
        <f>MOD(ROWS(Q$6:Q288)-1,5)+1</f>
        <v>3</v>
      </c>
      <c r="R288" cm="1">
        <f t="array" ref="R288">INDEX($H$6:$H$68, INT((ROWS(R$6:R288)-1)/5)+1)</f>
        <v>3</v>
      </c>
      <c r="S288" cm="1">
        <f t="array" ref="S288">INDEX($I$6:$I$68, INT((ROWS(S$6:S288)-1)/5)+1)</f>
        <v>3</v>
      </c>
      <c r="U288" s="12">
        <v>66.209999999999994</v>
      </c>
    </row>
    <row r="289" spans="14:21" x14ac:dyDescent="0.25">
      <c r="N289" s="2" t="str">
        <f t="shared" si="9"/>
        <v>NP ID20</v>
      </c>
      <c r="O289" cm="1">
        <f t="array" ref="O289">INDEX($F$6:$F$68, INT((ROWS(O$6:O289)-1)/5)+1)</f>
        <v>19</v>
      </c>
      <c r="P289" cm="1">
        <f t="array" ref="P289">INDEX($G$6:$G$68, INT((ROWS(P$6:P289)-1)/5)+1)</f>
        <v>3</v>
      </c>
      <c r="Q289">
        <f>MOD(ROWS(Q$6:Q289)-1,5)+1</f>
        <v>4</v>
      </c>
      <c r="R289" cm="1">
        <f t="array" ref="R289">INDEX($H$6:$H$68, INT((ROWS(R$6:R289)-1)/5)+1)</f>
        <v>3</v>
      </c>
      <c r="S289" cm="1">
        <f t="array" ref="S289">INDEX($I$6:$I$68, INT((ROWS(S$6:S289)-1)/5)+1)</f>
        <v>3</v>
      </c>
      <c r="U289" s="12">
        <v>66.42</v>
      </c>
    </row>
    <row r="290" spans="14:21" x14ac:dyDescent="0.25">
      <c r="N290" s="2" t="str">
        <f t="shared" si="9"/>
        <v>NP ID20</v>
      </c>
      <c r="O290" cm="1">
        <f t="array" ref="O290">INDEX($F$6:$F$68, INT((ROWS(O$6:O290)-1)/5)+1)</f>
        <v>19</v>
      </c>
      <c r="P290" cm="1">
        <f t="array" ref="P290">INDEX($G$6:$G$68, INT((ROWS(P$6:P290)-1)/5)+1)</f>
        <v>3</v>
      </c>
      <c r="Q290">
        <f>MOD(ROWS(Q$6:Q290)-1,5)+1</f>
        <v>5</v>
      </c>
      <c r="R290" cm="1">
        <f t="array" ref="R290">INDEX($H$6:$H$68, INT((ROWS(R$6:R290)-1)/5)+1)</f>
        <v>3</v>
      </c>
      <c r="S290" cm="1">
        <f t="array" ref="S290">INDEX($I$6:$I$68, INT((ROWS(S$6:S290)-1)/5)+1)</f>
        <v>3</v>
      </c>
      <c r="U290" s="12">
        <v>67.44</v>
      </c>
    </row>
    <row r="291" spans="14:21" x14ac:dyDescent="0.25">
      <c r="N291" s="2" t="str">
        <f t="shared" si="9"/>
        <v>FW ID22</v>
      </c>
      <c r="O291" cm="1">
        <f t="array" ref="O291">INDEX($F$6:$F$68, INT((ROWS(O$6:O291)-1)/5)+1)</f>
        <v>20</v>
      </c>
      <c r="P291" cm="1">
        <f t="array" ref="P291">INDEX($G$6:$G$68, INT((ROWS(P$6:P291)-1)/5)+1)</f>
        <v>2</v>
      </c>
      <c r="Q291">
        <f>MOD(ROWS(Q$6:Q291)-1,5)+1</f>
        <v>1</v>
      </c>
      <c r="R291" cm="1">
        <f t="array" ref="R291">INDEX($H$6:$H$68, INT((ROWS(R$6:R291)-1)/5)+1)</f>
        <v>2</v>
      </c>
      <c r="S291" cm="1">
        <f t="array" ref="S291">INDEX($I$6:$I$68, INT((ROWS(S$6:S291)-1)/5)+1)</f>
        <v>3</v>
      </c>
      <c r="U291" s="12">
        <v>62.25</v>
      </c>
    </row>
    <row r="292" spans="14:21" x14ac:dyDescent="0.25">
      <c r="N292" s="2" t="str">
        <f t="shared" si="9"/>
        <v>FW ID22</v>
      </c>
      <c r="O292" cm="1">
        <f t="array" ref="O292">INDEX($F$6:$F$68, INT((ROWS(O$6:O292)-1)/5)+1)</f>
        <v>20</v>
      </c>
      <c r="P292" cm="1">
        <f t="array" ref="P292">INDEX($G$6:$G$68, INT((ROWS(P$6:P292)-1)/5)+1)</f>
        <v>2</v>
      </c>
      <c r="Q292">
        <f>MOD(ROWS(Q$6:Q292)-1,5)+1</f>
        <v>2</v>
      </c>
      <c r="R292" cm="1">
        <f t="array" ref="R292">INDEX($H$6:$H$68, INT((ROWS(R$6:R292)-1)/5)+1)</f>
        <v>2</v>
      </c>
      <c r="S292" cm="1">
        <f t="array" ref="S292">INDEX($I$6:$I$68, INT((ROWS(S$6:S292)-1)/5)+1)</f>
        <v>3</v>
      </c>
      <c r="U292" s="12">
        <v>59.29</v>
      </c>
    </row>
    <row r="293" spans="14:21" x14ac:dyDescent="0.25">
      <c r="N293" s="2" t="str">
        <f t="shared" si="9"/>
        <v>FW ID22</v>
      </c>
      <c r="O293" cm="1">
        <f t="array" ref="O293">INDEX($F$6:$F$68, INT((ROWS(O$6:O293)-1)/5)+1)</f>
        <v>20</v>
      </c>
      <c r="P293" cm="1">
        <f t="array" ref="P293">INDEX($G$6:$G$68, INT((ROWS(P$6:P293)-1)/5)+1)</f>
        <v>2</v>
      </c>
      <c r="Q293">
        <f>MOD(ROWS(Q$6:Q293)-1,5)+1</f>
        <v>3</v>
      </c>
      <c r="R293" cm="1">
        <f t="array" ref="R293">INDEX($H$6:$H$68, INT((ROWS(R$6:R293)-1)/5)+1)</f>
        <v>2</v>
      </c>
      <c r="S293" cm="1">
        <f t="array" ref="S293">INDEX($I$6:$I$68, INT((ROWS(S$6:S293)-1)/5)+1)</f>
        <v>3</v>
      </c>
      <c r="U293" s="12">
        <v>59.1</v>
      </c>
    </row>
    <row r="294" spans="14:21" x14ac:dyDescent="0.25">
      <c r="N294" s="2" t="str">
        <f t="shared" si="9"/>
        <v>FW ID22</v>
      </c>
      <c r="O294" cm="1">
        <f t="array" ref="O294">INDEX($F$6:$F$68, INT((ROWS(O$6:O294)-1)/5)+1)</f>
        <v>20</v>
      </c>
      <c r="P294" cm="1">
        <f t="array" ref="P294">INDEX($G$6:$G$68, INT((ROWS(P$6:P294)-1)/5)+1)</f>
        <v>2</v>
      </c>
      <c r="Q294">
        <f>MOD(ROWS(Q$6:Q294)-1,5)+1</f>
        <v>4</v>
      </c>
      <c r="R294" cm="1">
        <f t="array" ref="R294">INDEX($H$6:$H$68, INT((ROWS(R$6:R294)-1)/5)+1)</f>
        <v>2</v>
      </c>
      <c r="S294" cm="1">
        <f t="array" ref="S294">INDEX($I$6:$I$68, INT((ROWS(S$6:S294)-1)/5)+1)</f>
        <v>3</v>
      </c>
      <c r="U294" s="12">
        <v>58.8</v>
      </c>
    </row>
    <row r="295" spans="14:21" x14ac:dyDescent="0.25">
      <c r="N295" s="2" t="str">
        <f t="shared" si="9"/>
        <v>FW ID22</v>
      </c>
      <c r="O295" cm="1">
        <f t="array" ref="O295">INDEX($F$6:$F$68, INT((ROWS(O$6:O295)-1)/5)+1)</f>
        <v>20</v>
      </c>
      <c r="P295" cm="1">
        <f t="array" ref="P295">INDEX($G$6:$G$68, INT((ROWS(P$6:P295)-1)/5)+1)</f>
        <v>2</v>
      </c>
      <c r="Q295">
        <f>MOD(ROWS(Q$6:Q295)-1,5)+1</f>
        <v>5</v>
      </c>
      <c r="R295" cm="1">
        <f t="array" ref="R295">INDEX($H$6:$H$68, INT((ROWS(R$6:R295)-1)/5)+1)</f>
        <v>2</v>
      </c>
      <c r="S295" cm="1">
        <f t="array" ref="S295">INDEX($I$6:$I$68, INT((ROWS(S$6:S295)-1)/5)+1)</f>
        <v>3</v>
      </c>
      <c r="U295" s="12">
        <v>58.69</v>
      </c>
    </row>
    <row r="296" spans="14:21" x14ac:dyDescent="0.25">
      <c r="N296" s="2" t="str">
        <f t="shared" si="9"/>
        <v>FW ID22</v>
      </c>
      <c r="O296" cm="1">
        <f t="array" ref="O296">INDEX($F$6:$F$68, INT((ROWS(O$6:O296)-1)/5)+1)</f>
        <v>20</v>
      </c>
      <c r="P296" cm="1">
        <f t="array" ref="P296">INDEX($G$6:$G$68, INT((ROWS(P$6:P296)-1)/5)+1)</f>
        <v>3</v>
      </c>
      <c r="Q296">
        <f>MOD(ROWS(Q$6:Q296)-1,5)+1</f>
        <v>1</v>
      </c>
      <c r="R296" cm="1">
        <f t="array" ref="R296">INDEX($H$6:$H$68, INT((ROWS(R$6:R296)-1)/5)+1)</f>
        <v>3</v>
      </c>
      <c r="S296" cm="1">
        <f t="array" ref="S296">INDEX($I$6:$I$68, INT((ROWS(S$6:S296)-1)/5)+1)</f>
        <v>3</v>
      </c>
      <c r="U296" s="12">
        <v>61.12</v>
      </c>
    </row>
    <row r="297" spans="14:21" x14ac:dyDescent="0.25">
      <c r="N297" s="2" t="str">
        <f t="shared" si="9"/>
        <v>FW ID22</v>
      </c>
      <c r="O297" cm="1">
        <f t="array" ref="O297">INDEX($F$6:$F$68, INT((ROWS(O$6:O297)-1)/5)+1)</f>
        <v>20</v>
      </c>
      <c r="P297" cm="1">
        <f t="array" ref="P297">INDEX($G$6:$G$68, INT((ROWS(P$6:P297)-1)/5)+1)</f>
        <v>3</v>
      </c>
      <c r="Q297">
        <f>MOD(ROWS(Q$6:Q297)-1,5)+1</f>
        <v>2</v>
      </c>
      <c r="R297" cm="1">
        <f t="array" ref="R297">INDEX($H$6:$H$68, INT((ROWS(R$6:R297)-1)/5)+1)</f>
        <v>3</v>
      </c>
      <c r="S297" cm="1">
        <f t="array" ref="S297">INDEX($I$6:$I$68, INT((ROWS(S$6:S297)-1)/5)+1)</f>
        <v>3</v>
      </c>
      <c r="U297" s="12">
        <v>59.87</v>
      </c>
    </row>
    <row r="298" spans="14:21" x14ac:dyDescent="0.25">
      <c r="N298" s="2" t="str">
        <f t="shared" si="9"/>
        <v>FW ID22</v>
      </c>
      <c r="O298" cm="1">
        <f t="array" ref="O298">INDEX($F$6:$F$68, INT((ROWS(O$6:O298)-1)/5)+1)</f>
        <v>20</v>
      </c>
      <c r="P298" cm="1">
        <f t="array" ref="P298">INDEX($G$6:$G$68, INT((ROWS(P$6:P298)-1)/5)+1)</f>
        <v>3</v>
      </c>
      <c r="Q298">
        <f>MOD(ROWS(Q$6:Q298)-1,5)+1</f>
        <v>3</v>
      </c>
      <c r="R298" cm="1">
        <f t="array" ref="R298">INDEX($H$6:$H$68, INT((ROWS(R$6:R298)-1)/5)+1)</f>
        <v>3</v>
      </c>
      <c r="S298" cm="1">
        <f t="array" ref="S298">INDEX($I$6:$I$68, INT((ROWS(S$6:S298)-1)/5)+1)</f>
        <v>3</v>
      </c>
      <c r="U298" s="12">
        <v>57.7</v>
      </c>
    </row>
    <row r="299" spans="14:21" x14ac:dyDescent="0.25">
      <c r="N299" s="2" t="str">
        <f t="shared" si="9"/>
        <v>FW ID22</v>
      </c>
      <c r="O299" cm="1">
        <f t="array" ref="O299">INDEX($F$6:$F$68, INT((ROWS(O$6:O299)-1)/5)+1)</f>
        <v>20</v>
      </c>
      <c r="P299" cm="1">
        <f t="array" ref="P299">INDEX($G$6:$G$68, INT((ROWS(P$6:P299)-1)/5)+1)</f>
        <v>3</v>
      </c>
      <c r="Q299">
        <f>MOD(ROWS(Q$6:Q299)-1,5)+1</f>
        <v>4</v>
      </c>
      <c r="R299" cm="1">
        <f t="array" ref="R299">INDEX($H$6:$H$68, INT((ROWS(R$6:R299)-1)/5)+1)</f>
        <v>3</v>
      </c>
      <c r="S299" cm="1">
        <f t="array" ref="S299">INDEX($I$6:$I$68, INT((ROWS(S$6:S299)-1)/5)+1)</f>
        <v>3</v>
      </c>
      <c r="U299" s="12">
        <v>58.65</v>
      </c>
    </row>
    <row r="300" spans="14:21" x14ac:dyDescent="0.25">
      <c r="N300" s="2" t="str">
        <f t="shared" si="9"/>
        <v>FW ID22</v>
      </c>
      <c r="O300" cm="1">
        <f t="array" ref="O300">INDEX($F$6:$F$68, INT((ROWS(O$6:O300)-1)/5)+1)</f>
        <v>20</v>
      </c>
      <c r="P300" cm="1">
        <f t="array" ref="P300">INDEX($G$6:$G$68, INT((ROWS(P$6:P300)-1)/5)+1)</f>
        <v>3</v>
      </c>
      <c r="Q300">
        <f>MOD(ROWS(Q$6:Q300)-1,5)+1</f>
        <v>5</v>
      </c>
      <c r="R300" cm="1">
        <f t="array" ref="R300">INDEX($H$6:$H$68, INT((ROWS(R$6:R300)-1)/5)+1)</f>
        <v>3</v>
      </c>
      <c r="S300" cm="1">
        <f t="array" ref="S300">INDEX($I$6:$I$68, INT((ROWS(S$6:S300)-1)/5)+1)</f>
        <v>3</v>
      </c>
      <c r="U300" s="12">
        <v>57.7</v>
      </c>
    </row>
    <row r="301" spans="14:21" x14ac:dyDescent="0.25">
      <c r="N301" s="2" t="str">
        <f t="shared" si="9"/>
        <v>FW ID22</v>
      </c>
      <c r="O301" cm="1">
        <f t="array" ref="O301">INDEX($F$6:$F$68, INT((ROWS(O$6:O301)-1)/5)+1)</f>
        <v>20</v>
      </c>
      <c r="P301" cm="1">
        <f t="array" ref="P301">INDEX($G$6:$G$68, INT((ROWS(P$6:P301)-1)/5)+1)</f>
        <v>1</v>
      </c>
      <c r="Q301">
        <f>MOD(ROWS(Q$6:Q301)-1,5)+1</f>
        <v>1</v>
      </c>
      <c r="R301" cm="1">
        <f t="array" ref="R301">INDEX($H$6:$H$68, INT((ROWS(R$6:R301)-1)/5)+1)</f>
        <v>1</v>
      </c>
      <c r="S301" cm="1">
        <f t="array" ref="S301">INDEX($I$6:$I$68, INT((ROWS(S$6:S301)-1)/5)+1)</f>
        <v>3</v>
      </c>
      <c r="U301" s="12">
        <v>46.18</v>
      </c>
    </row>
    <row r="302" spans="14:21" x14ac:dyDescent="0.25">
      <c r="N302" s="2" t="str">
        <f t="shared" si="9"/>
        <v>FW ID22</v>
      </c>
      <c r="O302" cm="1">
        <f t="array" ref="O302">INDEX($F$6:$F$68, INT((ROWS(O$6:O302)-1)/5)+1)</f>
        <v>20</v>
      </c>
      <c r="P302" cm="1">
        <f t="array" ref="P302">INDEX($G$6:$G$68, INT((ROWS(P$6:P302)-1)/5)+1)</f>
        <v>1</v>
      </c>
      <c r="Q302">
        <f>MOD(ROWS(Q$6:Q302)-1,5)+1</f>
        <v>2</v>
      </c>
      <c r="R302" cm="1">
        <f t="array" ref="R302">INDEX($H$6:$H$68, INT((ROWS(R$6:R302)-1)/5)+1)</f>
        <v>1</v>
      </c>
      <c r="S302" cm="1">
        <f t="array" ref="S302">INDEX($I$6:$I$68, INT((ROWS(S$6:S302)-1)/5)+1)</f>
        <v>3</v>
      </c>
      <c r="U302" s="12">
        <v>42.67</v>
      </c>
    </row>
    <row r="303" spans="14:21" x14ac:dyDescent="0.25">
      <c r="N303" s="2" t="str">
        <f t="shared" si="9"/>
        <v>FW ID22</v>
      </c>
      <c r="O303" cm="1">
        <f t="array" ref="O303">INDEX($F$6:$F$68, INT((ROWS(O$6:O303)-1)/5)+1)</f>
        <v>20</v>
      </c>
      <c r="P303" cm="1">
        <f t="array" ref="P303">INDEX($G$6:$G$68, INT((ROWS(P$6:P303)-1)/5)+1)</f>
        <v>1</v>
      </c>
      <c r="Q303">
        <f>MOD(ROWS(Q$6:Q303)-1,5)+1</f>
        <v>3</v>
      </c>
      <c r="R303" cm="1">
        <f t="array" ref="R303">INDEX($H$6:$H$68, INT((ROWS(R$6:R303)-1)/5)+1)</f>
        <v>1</v>
      </c>
      <c r="S303" cm="1">
        <f t="array" ref="S303">INDEX($I$6:$I$68, INT((ROWS(S$6:S303)-1)/5)+1)</f>
        <v>3</v>
      </c>
      <c r="U303" s="12">
        <v>43.4</v>
      </c>
    </row>
    <row r="304" spans="14:21" x14ac:dyDescent="0.25">
      <c r="N304" s="2" t="str">
        <f t="shared" si="9"/>
        <v>FW ID22</v>
      </c>
      <c r="O304" cm="1">
        <f t="array" ref="O304">INDEX($F$6:$F$68, INT((ROWS(O$6:O304)-1)/5)+1)</f>
        <v>20</v>
      </c>
      <c r="P304" cm="1">
        <f t="array" ref="P304">INDEX($G$6:$G$68, INT((ROWS(P$6:P304)-1)/5)+1)</f>
        <v>1</v>
      </c>
      <c r="Q304">
        <f>MOD(ROWS(Q$6:Q304)-1,5)+1</f>
        <v>4</v>
      </c>
      <c r="R304" cm="1">
        <f t="array" ref="R304">INDEX($H$6:$H$68, INT((ROWS(R$6:R304)-1)/5)+1)</f>
        <v>1</v>
      </c>
      <c r="S304" cm="1">
        <f t="array" ref="S304">INDEX($I$6:$I$68, INT((ROWS(S$6:S304)-1)/5)+1)</f>
        <v>3</v>
      </c>
      <c r="U304" s="12">
        <v>42.46</v>
      </c>
    </row>
    <row r="305" spans="14:21" x14ac:dyDescent="0.25">
      <c r="N305" s="2" t="str">
        <f t="shared" si="9"/>
        <v>FW ID22</v>
      </c>
      <c r="O305" cm="1">
        <f t="array" ref="O305">INDEX($F$6:$F$68, INT((ROWS(O$6:O305)-1)/5)+1)</f>
        <v>20</v>
      </c>
      <c r="P305" cm="1">
        <f t="array" ref="P305">INDEX($G$6:$G$68, INT((ROWS(P$6:P305)-1)/5)+1)</f>
        <v>1</v>
      </c>
      <c r="Q305">
        <f>MOD(ROWS(Q$6:Q305)-1,5)+1</f>
        <v>5</v>
      </c>
      <c r="R305" cm="1">
        <f t="array" ref="R305">INDEX($H$6:$H$68, INT((ROWS(R$6:R305)-1)/5)+1)</f>
        <v>1</v>
      </c>
      <c r="S305" cm="1">
        <f t="array" ref="S305">INDEX($I$6:$I$68, INT((ROWS(S$6:S305)-1)/5)+1)</f>
        <v>3</v>
      </c>
      <c r="U305" s="12">
        <v>43.76</v>
      </c>
    </row>
    <row r="306" spans="14:21" x14ac:dyDescent="0.25">
      <c r="N306" s="2">
        <f t="shared" si="9"/>
        <v>0</v>
      </c>
      <c r="O306" cm="1">
        <f t="array" ref="O306">INDEX($F$6:$F$68, INT((ROWS(O$6:O306)-1)/5)+1)</f>
        <v>21</v>
      </c>
      <c r="P306" cm="1">
        <f t="array" ref="P306">INDEX($G$6:$G$68, INT((ROWS(P$6:P306)-1)/5)+1)</f>
        <v>2</v>
      </c>
      <c r="Q306">
        <f>MOD(ROWS(Q$6:Q306)-1,5)+1</f>
        <v>1</v>
      </c>
      <c r="R306" cm="1">
        <f t="array" ref="R306">INDEX($H$6:$H$68, INT((ROWS(R$6:R306)-1)/5)+1)</f>
        <v>3</v>
      </c>
      <c r="S306" cm="1">
        <f t="array" ref="S306">INDEX($I$6:$I$68, INT((ROWS(S$6:S306)-1)/5)+1)</f>
        <v>3</v>
      </c>
      <c r="U306" s="12"/>
    </row>
    <row r="307" spans="14:21" x14ac:dyDescent="0.25">
      <c r="N307" s="2">
        <f t="shared" si="9"/>
        <v>0</v>
      </c>
      <c r="O307" cm="1">
        <f t="array" ref="O307">INDEX($F$6:$F$68, INT((ROWS(O$6:O307)-1)/5)+1)</f>
        <v>21</v>
      </c>
      <c r="P307" cm="1">
        <f t="array" ref="P307">INDEX($G$6:$G$68, INT((ROWS(P$6:P307)-1)/5)+1)</f>
        <v>2</v>
      </c>
      <c r="Q307">
        <f>MOD(ROWS(Q$6:Q307)-1,5)+1</f>
        <v>2</v>
      </c>
      <c r="R307" cm="1">
        <f t="array" ref="R307">INDEX($H$6:$H$68, INT((ROWS(R$6:R307)-1)/5)+1)</f>
        <v>3</v>
      </c>
      <c r="S307" cm="1">
        <f t="array" ref="S307">INDEX($I$6:$I$68, INT((ROWS(S$6:S307)-1)/5)+1)</f>
        <v>3</v>
      </c>
      <c r="U307" s="12"/>
    </row>
    <row r="308" spans="14:21" x14ac:dyDescent="0.25">
      <c r="N308" s="2">
        <f t="shared" si="9"/>
        <v>0</v>
      </c>
      <c r="O308" cm="1">
        <f t="array" ref="O308">INDEX($F$6:$F$68, INT((ROWS(O$6:O308)-1)/5)+1)</f>
        <v>21</v>
      </c>
      <c r="P308" cm="1">
        <f t="array" ref="P308">INDEX($G$6:$G$68, INT((ROWS(P$6:P308)-1)/5)+1)</f>
        <v>2</v>
      </c>
      <c r="Q308">
        <f>MOD(ROWS(Q$6:Q308)-1,5)+1</f>
        <v>3</v>
      </c>
      <c r="R308" cm="1">
        <f t="array" ref="R308">INDEX($H$6:$H$68, INT((ROWS(R$6:R308)-1)/5)+1)</f>
        <v>3</v>
      </c>
      <c r="S308" cm="1">
        <f t="array" ref="S308">INDEX($I$6:$I$68, INT((ROWS(S$6:S308)-1)/5)+1)</f>
        <v>3</v>
      </c>
      <c r="U308" s="12"/>
    </row>
    <row r="309" spans="14:21" x14ac:dyDescent="0.25">
      <c r="N309" s="2">
        <f t="shared" si="9"/>
        <v>0</v>
      </c>
      <c r="O309" cm="1">
        <f t="array" ref="O309">INDEX($F$6:$F$68, INT((ROWS(O$6:O309)-1)/5)+1)</f>
        <v>21</v>
      </c>
      <c r="P309" cm="1">
        <f t="array" ref="P309">INDEX($G$6:$G$68, INT((ROWS(P$6:P309)-1)/5)+1)</f>
        <v>2</v>
      </c>
      <c r="Q309">
        <f>MOD(ROWS(Q$6:Q309)-1,5)+1</f>
        <v>4</v>
      </c>
      <c r="R309" cm="1">
        <f t="array" ref="R309">INDEX($H$6:$H$68, INT((ROWS(R$6:R309)-1)/5)+1)</f>
        <v>3</v>
      </c>
      <c r="S309" cm="1">
        <f t="array" ref="S309">INDEX($I$6:$I$68, INT((ROWS(S$6:S309)-1)/5)+1)</f>
        <v>3</v>
      </c>
      <c r="U309" s="12"/>
    </row>
    <row r="310" spans="14:21" x14ac:dyDescent="0.25">
      <c r="N310" s="2">
        <f t="shared" si="9"/>
        <v>0</v>
      </c>
      <c r="O310" cm="1">
        <f t="array" ref="O310">INDEX($F$6:$F$68, INT((ROWS(O$6:O310)-1)/5)+1)</f>
        <v>21</v>
      </c>
      <c r="P310" cm="1">
        <f t="array" ref="P310">INDEX($G$6:$G$68, INT((ROWS(P$6:P310)-1)/5)+1)</f>
        <v>2</v>
      </c>
      <c r="Q310">
        <f>MOD(ROWS(Q$6:Q310)-1,5)+1</f>
        <v>5</v>
      </c>
      <c r="R310" cm="1">
        <f t="array" ref="R310">INDEX($H$6:$H$68, INT((ROWS(R$6:R310)-1)/5)+1)</f>
        <v>3</v>
      </c>
      <c r="S310" cm="1">
        <f t="array" ref="S310">INDEX($I$6:$I$68, INT((ROWS(S$6:S310)-1)/5)+1)</f>
        <v>3</v>
      </c>
      <c r="U310" s="12"/>
    </row>
    <row r="311" spans="14:21" x14ac:dyDescent="0.25">
      <c r="N311" s="2">
        <f t="shared" si="9"/>
        <v>0</v>
      </c>
      <c r="O311" cm="1">
        <f t="array" ref="O311">INDEX($F$6:$F$68, INT((ROWS(O$6:O311)-1)/5)+1)</f>
        <v>21</v>
      </c>
      <c r="P311" cm="1">
        <f t="array" ref="P311">INDEX($G$6:$G$68, INT((ROWS(P$6:P311)-1)/5)+1)</f>
        <v>3</v>
      </c>
      <c r="Q311">
        <f>MOD(ROWS(Q$6:Q311)-1,5)+1</f>
        <v>1</v>
      </c>
      <c r="R311" cm="1">
        <f t="array" ref="R311">INDEX($H$6:$H$68, INT((ROWS(R$6:R311)-1)/5)+1)</f>
        <v>1</v>
      </c>
      <c r="S311" cm="1">
        <f t="array" ref="S311">INDEX($I$6:$I$68, INT((ROWS(S$6:S311)-1)/5)+1)</f>
        <v>3</v>
      </c>
      <c r="U311" s="12"/>
    </row>
    <row r="312" spans="14:21" x14ac:dyDescent="0.25">
      <c r="N312" s="2">
        <f t="shared" si="9"/>
        <v>0</v>
      </c>
      <c r="O312" cm="1">
        <f t="array" ref="O312">INDEX($F$6:$F$68, INT((ROWS(O$6:O312)-1)/5)+1)</f>
        <v>21</v>
      </c>
      <c r="P312" cm="1">
        <f t="array" ref="P312">INDEX($G$6:$G$68, INT((ROWS(P$6:P312)-1)/5)+1)</f>
        <v>3</v>
      </c>
      <c r="Q312">
        <f>MOD(ROWS(Q$6:Q312)-1,5)+1</f>
        <v>2</v>
      </c>
      <c r="R312" cm="1">
        <f t="array" ref="R312">INDEX($H$6:$H$68, INT((ROWS(R$6:R312)-1)/5)+1)</f>
        <v>1</v>
      </c>
      <c r="S312" cm="1">
        <f t="array" ref="S312">INDEX($I$6:$I$68, INT((ROWS(S$6:S312)-1)/5)+1)</f>
        <v>3</v>
      </c>
      <c r="U312" s="12"/>
    </row>
    <row r="313" spans="14:21" x14ac:dyDescent="0.25">
      <c r="N313" s="2">
        <f t="shared" si="9"/>
        <v>0</v>
      </c>
      <c r="O313" cm="1">
        <f t="array" ref="O313">INDEX($F$6:$F$68, INT((ROWS(O$6:O313)-1)/5)+1)</f>
        <v>21</v>
      </c>
      <c r="P313" cm="1">
        <f t="array" ref="P313">INDEX($G$6:$G$68, INT((ROWS(P$6:P313)-1)/5)+1)</f>
        <v>3</v>
      </c>
      <c r="Q313">
        <f>MOD(ROWS(Q$6:Q313)-1,5)+1</f>
        <v>3</v>
      </c>
      <c r="R313" cm="1">
        <f t="array" ref="R313">INDEX($H$6:$H$68, INT((ROWS(R$6:R313)-1)/5)+1)</f>
        <v>1</v>
      </c>
      <c r="S313" cm="1">
        <f t="array" ref="S313">INDEX($I$6:$I$68, INT((ROWS(S$6:S313)-1)/5)+1)</f>
        <v>3</v>
      </c>
      <c r="U313" s="12"/>
    </row>
    <row r="314" spans="14:21" x14ac:dyDescent="0.25">
      <c r="N314" s="2">
        <f t="shared" si="9"/>
        <v>0</v>
      </c>
      <c r="O314" cm="1">
        <f t="array" ref="O314">INDEX($F$6:$F$68, INT((ROWS(O$6:O314)-1)/5)+1)</f>
        <v>21</v>
      </c>
      <c r="P314" cm="1">
        <f t="array" ref="P314">INDEX($G$6:$G$68, INT((ROWS(P$6:P314)-1)/5)+1)</f>
        <v>3</v>
      </c>
      <c r="Q314">
        <f>MOD(ROWS(Q$6:Q314)-1,5)+1</f>
        <v>4</v>
      </c>
      <c r="R314" cm="1">
        <f t="array" ref="R314">INDEX($H$6:$H$68, INT((ROWS(R$6:R314)-1)/5)+1)</f>
        <v>1</v>
      </c>
      <c r="S314" cm="1">
        <f t="array" ref="S314">INDEX($I$6:$I$68, INT((ROWS(S$6:S314)-1)/5)+1)</f>
        <v>3</v>
      </c>
      <c r="U314" s="12"/>
    </row>
    <row r="315" spans="14:21" x14ac:dyDescent="0.25">
      <c r="N315" s="2">
        <f t="shared" si="9"/>
        <v>0</v>
      </c>
      <c r="O315" cm="1">
        <f t="array" ref="O315">INDEX($F$6:$F$68, INT((ROWS(O$6:O315)-1)/5)+1)</f>
        <v>21</v>
      </c>
      <c r="P315" cm="1">
        <f t="array" ref="P315">INDEX($G$6:$G$68, INT((ROWS(P$6:P315)-1)/5)+1)</f>
        <v>3</v>
      </c>
      <c r="Q315">
        <f>MOD(ROWS(Q$6:Q315)-1,5)+1</f>
        <v>5</v>
      </c>
      <c r="R315" cm="1">
        <f t="array" ref="R315">INDEX($H$6:$H$68, INT((ROWS(R$6:R315)-1)/5)+1)</f>
        <v>1</v>
      </c>
      <c r="S315" cm="1">
        <f t="array" ref="S315">INDEX($I$6:$I$68, INT((ROWS(S$6:S315)-1)/5)+1)</f>
        <v>3</v>
      </c>
      <c r="U315" s="12"/>
    </row>
    <row r="316" spans="14:21" x14ac:dyDescent="0.25">
      <c r="N316" s="2">
        <f t="shared" si="9"/>
        <v>0</v>
      </c>
      <c r="O316" cm="1">
        <f t="array" ref="O316">INDEX($F$6:$F$68, INT((ROWS(O$6:O316)-1)/5)+1)</f>
        <v>21</v>
      </c>
      <c r="P316" cm="1">
        <f t="array" ref="P316">INDEX($G$6:$G$68, INT((ROWS(P$6:P316)-1)/5)+1)</f>
        <v>1</v>
      </c>
      <c r="Q316">
        <f>MOD(ROWS(Q$6:Q316)-1,5)+1</f>
        <v>1</v>
      </c>
      <c r="R316" cm="1">
        <f t="array" ref="R316">INDEX($H$6:$H$68, INT((ROWS(R$6:R316)-1)/5)+1)</f>
        <v>2</v>
      </c>
      <c r="S316" cm="1">
        <f t="array" ref="S316">INDEX($I$6:$I$68, INT((ROWS(S$6:S316)-1)/5)+1)</f>
        <v>3</v>
      </c>
      <c r="U316" s="12"/>
    </row>
    <row r="317" spans="14:21" x14ac:dyDescent="0.25">
      <c r="N317" s="2">
        <f t="shared" si="9"/>
        <v>0</v>
      </c>
      <c r="O317" cm="1">
        <f t="array" ref="O317">INDEX($F$6:$F$68, INT((ROWS(O$6:O317)-1)/5)+1)</f>
        <v>21</v>
      </c>
      <c r="P317" cm="1">
        <f t="array" ref="P317">INDEX($G$6:$G$68, INT((ROWS(P$6:P317)-1)/5)+1)</f>
        <v>1</v>
      </c>
      <c r="Q317">
        <f>MOD(ROWS(Q$6:Q317)-1,5)+1</f>
        <v>2</v>
      </c>
      <c r="R317" cm="1">
        <f t="array" ref="R317">INDEX($H$6:$H$68, INT((ROWS(R$6:R317)-1)/5)+1)</f>
        <v>2</v>
      </c>
      <c r="S317" cm="1">
        <f t="array" ref="S317">INDEX($I$6:$I$68, INT((ROWS(S$6:S317)-1)/5)+1)</f>
        <v>3</v>
      </c>
      <c r="U317" s="12"/>
    </row>
    <row r="318" spans="14:21" x14ac:dyDescent="0.25">
      <c r="N318" s="2">
        <f t="shared" si="9"/>
        <v>0</v>
      </c>
      <c r="O318" cm="1">
        <f t="array" ref="O318">INDEX($F$6:$F$68, INT((ROWS(O$6:O318)-1)/5)+1)</f>
        <v>21</v>
      </c>
      <c r="P318" cm="1">
        <f t="array" ref="P318">INDEX($G$6:$G$68, INT((ROWS(P$6:P318)-1)/5)+1)</f>
        <v>1</v>
      </c>
      <c r="Q318">
        <f>MOD(ROWS(Q$6:Q318)-1,5)+1</f>
        <v>3</v>
      </c>
      <c r="R318" cm="1">
        <f t="array" ref="R318">INDEX($H$6:$H$68, INT((ROWS(R$6:R318)-1)/5)+1)</f>
        <v>2</v>
      </c>
      <c r="S318" cm="1">
        <f t="array" ref="S318">INDEX($I$6:$I$68, INT((ROWS(S$6:S318)-1)/5)+1)</f>
        <v>3</v>
      </c>
      <c r="U318" s="12"/>
    </row>
    <row r="319" spans="14:21" x14ac:dyDescent="0.25">
      <c r="N319" s="2">
        <f t="shared" si="9"/>
        <v>0</v>
      </c>
      <c r="O319" cm="1">
        <f t="array" ref="O319">INDEX($F$6:$F$68, INT((ROWS(O$6:O319)-1)/5)+1)</f>
        <v>21</v>
      </c>
      <c r="P319" cm="1">
        <f t="array" ref="P319">INDEX($G$6:$G$68, INT((ROWS(P$6:P319)-1)/5)+1)</f>
        <v>1</v>
      </c>
      <c r="Q319">
        <f>MOD(ROWS(Q$6:Q319)-1,5)+1</f>
        <v>4</v>
      </c>
      <c r="R319" cm="1">
        <f t="array" ref="R319">INDEX($H$6:$H$68, INT((ROWS(R$6:R319)-1)/5)+1)</f>
        <v>2</v>
      </c>
      <c r="S319" cm="1">
        <f t="array" ref="S319">INDEX($I$6:$I$68, INT((ROWS(S$6:S319)-1)/5)+1)</f>
        <v>3</v>
      </c>
      <c r="U319" s="12"/>
    </row>
    <row r="320" spans="14:21" x14ac:dyDescent="0.25">
      <c r="N320" s="4">
        <f t="shared" si="9"/>
        <v>0</v>
      </c>
      <c r="O320" s="5" cm="1">
        <f t="array" ref="O320">INDEX($F$6:$F$68, INT((ROWS(O$6:O320)-1)/5)+1)</f>
        <v>21</v>
      </c>
      <c r="P320" s="5" cm="1">
        <f t="array" ref="P320">INDEX($G$6:$G$68, INT((ROWS(P$6:P320)-1)/5)+1)</f>
        <v>1</v>
      </c>
      <c r="Q320" s="5">
        <f>MOD(ROWS(Q$6:Q320)-1,5)+1</f>
        <v>5</v>
      </c>
      <c r="R320" s="5" cm="1">
        <f t="array" ref="R320">INDEX($H$6:$H$68, INT((ROWS(R$6:R320)-1)/5)+1)</f>
        <v>2</v>
      </c>
      <c r="S320" s="5" cm="1">
        <f t="array" ref="S320">INDEX($I$6:$I$68, INT((ROWS(S$6:S320)-1)/5)+1)</f>
        <v>3</v>
      </c>
      <c r="T320" s="5"/>
      <c r="U320" s="13"/>
    </row>
  </sheetData>
  <mergeCells count="4">
    <mergeCell ref="E1:K2"/>
    <mergeCell ref="N1:U2"/>
    <mergeCell ref="X1:AA2"/>
    <mergeCell ref="A4:C4"/>
  </mergeCells>
  <conditionalFormatting sqref="E6:I68 K6:K68">
    <cfRule type="expression" dxfId="6" priority="6">
      <formula>MOD(ROUNDDOWN((ROW()-6)/3,0),2)=0</formula>
    </cfRule>
  </conditionalFormatting>
  <conditionalFormatting sqref="N6:S13 N69:U90 N91:T92 N93:U320 N15:S68 U66:U68 U15:U50 U11:U13 U6">
    <cfRule type="expression" dxfId="5" priority="7">
      <formula>MOD(ROUNDDOWN((ROW()-6)/5,0),2)=0</formula>
    </cfRule>
  </conditionalFormatting>
  <conditionalFormatting sqref="N14:S14 U14:V14">
    <cfRule type="expression" dxfId="4" priority="3">
      <formula>MOD(ROUNDDOWN((ROW()-6)/5,0),2)=0</formula>
    </cfRule>
  </conditionalFormatting>
  <conditionalFormatting sqref="U8:U11">
    <cfRule type="expression" dxfId="3" priority="4">
      <formula>MOD(ROUNDDOWN((ROW()-6)/5,0),2)=0</formula>
    </cfRule>
  </conditionalFormatting>
  <conditionalFormatting sqref="W113:W121">
    <cfRule type="expression" dxfId="2" priority="5">
      <formula>MOD(ROUNDDOWN((ROW()-6)/5,0),2)=0</formula>
    </cfRule>
  </conditionalFormatting>
  <conditionalFormatting sqref="J6:J68">
    <cfRule type="expression" dxfId="1" priority="2">
      <formula>MOD(ROUNDDOWN((ROW()-6)/3,0),2)=0</formula>
    </cfRule>
  </conditionalFormatting>
  <conditionalFormatting sqref="T6:T68">
    <cfRule type="expression" dxfId="0" priority="1">
      <formula>MOD(ROUNDDOWN((ROW()-6)/3,0),2)=0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BA80-F7DE-4987-B166-0AA95808D0F7}">
  <dimension ref="B3:V77"/>
  <sheetViews>
    <sheetView zoomScale="85" zoomScaleNormal="85" workbookViewId="0">
      <selection activeCell="B17" sqref="B17"/>
    </sheetView>
  </sheetViews>
  <sheetFormatPr baseColWidth="10" defaultColWidth="11.42578125" defaultRowHeight="15" x14ac:dyDescent="0.25"/>
  <cols>
    <col min="2" max="2" width="14.42578125" bestFit="1" customWidth="1"/>
    <col min="3" max="4" width="17.42578125" bestFit="1" customWidth="1"/>
    <col min="5" max="5" width="14.140625" bestFit="1" customWidth="1"/>
    <col min="6" max="6" width="12" bestFit="1" customWidth="1"/>
    <col min="7" max="8" width="12.85546875" bestFit="1" customWidth="1"/>
    <col min="9" max="9" width="9.5703125" bestFit="1" customWidth="1"/>
    <col min="10" max="10" width="12.85546875" bestFit="1" customWidth="1"/>
    <col min="11" max="11" width="12.85546875" customWidth="1"/>
    <col min="12" max="12" width="14.42578125" bestFit="1" customWidth="1"/>
    <col min="13" max="14" width="17.42578125" bestFit="1" customWidth="1"/>
    <col min="15" max="15" width="14.140625" bestFit="1" customWidth="1"/>
    <col min="16" max="16" width="9.5703125" bestFit="1" customWidth="1"/>
    <col min="17" max="17" width="12" bestFit="1" customWidth="1"/>
    <col min="18" max="18" width="10" bestFit="1" customWidth="1"/>
    <col min="19" max="19" width="12" bestFit="1" customWidth="1"/>
    <col min="20" max="20" width="12" customWidth="1"/>
    <col min="21" max="22" width="9.5703125" bestFit="1" customWidth="1"/>
  </cols>
  <sheetData>
    <row r="3" spans="2:22" x14ac:dyDescent="0.25">
      <c r="E3" t="s">
        <v>36</v>
      </c>
      <c r="F3">
        <v>1</v>
      </c>
    </row>
    <row r="4" spans="2:22" x14ac:dyDescent="0.25">
      <c r="C4" t="s">
        <v>37</v>
      </c>
      <c r="E4" t="s">
        <v>38</v>
      </c>
      <c r="F4">
        <v>2</v>
      </c>
    </row>
    <row r="5" spans="2:22" x14ac:dyDescent="0.25">
      <c r="E5" t="s">
        <v>39</v>
      </c>
      <c r="F5">
        <v>3</v>
      </c>
    </row>
    <row r="6" spans="2:22" x14ac:dyDescent="0.25">
      <c r="C6" t="s">
        <v>40</v>
      </c>
      <c r="M6" t="s">
        <v>41</v>
      </c>
    </row>
    <row r="7" spans="2:22" x14ac:dyDescent="0.25">
      <c r="C7" t="s">
        <v>42</v>
      </c>
      <c r="D7" t="s">
        <v>43</v>
      </c>
      <c r="G7" t="s">
        <v>44</v>
      </c>
      <c r="M7" t="s">
        <v>45</v>
      </c>
      <c r="N7" t="s">
        <v>46</v>
      </c>
      <c r="V7" t="s">
        <v>44</v>
      </c>
    </row>
    <row r="9" spans="2:22" x14ac:dyDescent="0.25">
      <c r="C9" t="s">
        <v>47</v>
      </c>
      <c r="D9" t="s">
        <v>48</v>
      </c>
      <c r="E9" t="s">
        <v>7</v>
      </c>
      <c r="F9" t="s">
        <v>6</v>
      </c>
      <c r="G9" t="s">
        <v>8</v>
      </c>
      <c r="H9" t="s">
        <v>49</v>
      </c>
      <c r="M9" t="s">
        <v>47</v>
      </c>
      <c r="N9" t="s">
        <v>50</v>
      </c>
      <c r="O9" t="s">
        <v>48</v>
      </c>
      <c r="P9" t="s">
        <v>7</v>
      </c>
      <c r="Q9" t="s">
        <v>51</v>
      </c>
      <c r="R9" t="s">
        <v>6</v>
      </c>
      <c r="V9" t="s">
        <v>52</v>
      </c>
    </row>
    <row r="10" spans="2:22" x14ac:dyDescent="0.25">
      <c r="B10" t="s">
        <v>53</v>
      </c>
      <c r="D10" t="s">
        <v>54</v>
      </c>
      <c r="E10" t="s">
        <v>54</v>
      </c>
      <c r="F10" t="s">
        <v>54</v>
      </c>
      <c r="L10" t="s">
        <v>53</v>
      </c>
      <c r="N10" t="s">
        <v>54</v>
      </c>
      <c r="O10" t="s">
        <v>54</v>
      </c>
      <c r="P10" t="s">
        <v>54</v>
      </c>
      <c r="Q10" t="s">
        <v>55</v>
      </c>
      <c r="R10" t="s">
        <v>54</v>
      </c>
    </row>
    <row r="11" spans="2:22" x14ac:dyDescent="0.25">
      <c r="C11" s="10">
        <v>1</v>
      </c>
      <c r="D11" s="10">
        <v>1</v>
      </c>
      <c r="E11" s="10">
        <v>1</v>
      </c>
      <c r="F11" s="10">
        <v>1</v>
      </c>
      <c r="H11">
        <f>(E11+1)^F11</f>
        <v>2</v>
      </c>
    </row>
    <row r="12" spans="2:22" x14ac:dyDescent="0.25">
      <c r="C12" s="10">
        <v>2</v>
      </c>
      <c r="D12" s="10">
        <v>2</v>
      </c>
      <c r="E12" s="10">
        <v>2</v>
      </c>
      <c r="F12" s="10">
        <v>1</v>
      </c>
      <c r="H12">
        <f t="shared" ref="H12:H73" si="0">(E12+1)^F12</f>
        <v>3</v>
      </c>
    </row>
    <row r="13" spans="2:22" x14ac:dyDescent="0.25">
      <c r="C13" s="10">
        <v>3</v>
      </c>
      <c r="D13" s="10">
        <v>3</v>
      </c>
      <c r="E13" s="10">
        <v>3</v>
      </c>
      <c r="F13" s="10">
        <v>1</v>
      </c>
      <c r="H13">
        <f t="shared" si="0"/>
        <v>4</v>
      </c>
    </row>
    <row r="14" spans="2:22" x14ac:dyDescent="0.25">
      <c r="C14" s="10">
        <v>4</v>
      </c>
      <c r="D14" s="10">
        <v>2</v>
      </c>
      <c r="E14" s="10">
        <v>1</v>
      </c>
      <c r="F14" s="10">
        <v>1</v>
      </c>
      <c r="H14">
        <f t="shared" si="0"/>
        <v>2</v>
      </c>
    </row>
    <row r="15" spans="2:22" x14ac:dyDescent="0.25">
      <c r="C15" s="10">
        <v>5</v>
      </c>
      <c r="D15" s="10">
        <v>3</v>
      </c>
      <c r="E15" s="10">
        <v>2</v>
      </c>
      <c r="F15" s="10">
        <v>1</v>
      </c>
      <c r="H15">
        <f t="shared" si="0"/>
        <v>3</v>
      </c>
    </row>
    <row r="16" spans="2:22" x14ac:dyDescent="0.25">
      <c r="C16" s="10">
        <v>6</v>
      </c>
      <c r="D16" s="10">
        <v>1</v>
      </c>
      <c r="E16" s="10">
        <v>3</v>
      </c>
      <c r="F16" s="10">
        <v>1</v>
      </c>
      <c r="H16">
        <f t="shared" si="0"/>
        <v>4</v>
      </c>
    </row>
    <row r="17" spans="3:8" x14ac:dyDescent="0.25">
      <c r="C17" s="10">
        <v>7</v>
      </c>
      <c r="D17" s="10">
        <v>3</v>
      </c>
      <c r="E17" s="10">
        <v>1</v>
      </c>
      <c r="F17" s="10">
        <v>1</v>
      </c>
      <c r="H17">
        <f t="shared" si="0"/>
        <v>2</v>
      </c>
    </row>
    <row r="18" spans="3:8" x14ac:dyDescent="0.25">
      <c r="C18" s="10">
        <v>8</v>
      </c>
      <c r="D18" s="10">
        <v>1</v>
      </c>
      <c r="E18" s="10">
        <v>2</v>
      </c>
      <c r="F18" s="10">
        <v>2</v>
      </c>
      <c r="H18">
        <f t="shared" si="0"/>
        <v>9</v>
      </c>
    </row>
    <row r="19" spans="3:8" x14ac:dyDescent="0.25">
      <c r="C19" s="10">
        <v>9</v>
      </c>
      <c r="D19" s="10">
        <v>2</v>
      </c>
      <c r="E19" s="10">
        <v>3</v>
      </c>
      <c r="F19" s="10">
        <v>2</v>
      </c>
      <c r="H19">
        <f t="shared" si="0"/>
        <v>16</v>
      </c>
    </row>
    <row r="20" spans="3:8" x14ac:dyDescent="0.25">
      <c r="C20" s="10">
        <v>10</v>
      </c>
      <c r="D20" s="10">
        <v>1</v>
      </c>
      <c r="E20" s="10">
        <v>1</v>
      </c>
      <c r="F20" s="10">
        <v>2</v>
      </c>
      <c r="H20">
        <f t="shared" si="0"/>
        <v>4</v>
      </c>
    </row>
    <row r="21" spans="3:8" x14ac:dyDescent="0.25">
      <c r="C21" s="10">
        <v>11</v>
      </c>
      <c r="D21" s="10">
        <v>2</v>
      </c>
      <c r="E21" s="10">
        <v>2</v>
      </c>
      <c r="F21" s="10">
        <v>2</v>
      </c>
      <c r="H21">
        <f t="shared" si="0"/>
        <v>9</v>
      </c>
    </row>
    <row r="22" spans="3:8" x14ac:dyDescent="0.25">
      <c r="C22" s="10">
        <v>12</v>
      </c>
      <c r="D22" s="10">
        <v>3</v>
      </c>
      <c r="E22" s="10">
        <v>3</v>
      </c>
      <c r="F22" s="10">
        <v>2</v>
      </c>
      <c r="H22">
        <f t="shared" si="0"/>
        <v>16</v>
      </c>
    </row>
    <row r="23" spans="3:8" x14ac:dyDescent="0.25">
      <c r="C23" s="10">
        <v>13</v>
      </c>
      <c r="D23" s="10">
        <v>2</v>
      </c>
      <c r="E23" s="10">
        <v>1</v>
      </c>
      <c r="F23" s="10">
        <v>2</v>
      </c>
      <c r="H23">
        <f t="shared" si="0"/>
        <v>4</v>
      </c>
    </row>
    <row r="24" spans="3:8" x14ac:dyDescent="0.25">
      <c r="C24" s="10">
        <v>14</v>
      </c>
      <c r="D24" s="10">
        <v>3</v>
      </c>
      <c r="E24" s="10">
        <v>2</v>
      </c>
      <c r="F24" s="10">
        <v>2</v>
      </c>
      <c r="H24">
        <f t="shared" si="0"/>
        <v>9</v>
      </c>
    </row>
    <row r="25" spans="3:8" x14ac:dyDescent="0.25">
      <c r="C25" s="10">
        <v>15</v>
      </c>
      <c r="D25" s="10">
        <v>1</v>
      </c>
      <c r="E25" s="10">
        <v>3</v>
      </c>
      <c r="F25" s="10">
        <v>3</v>
      </c>
      <c r="H25">
        <f t="shared" si="0"/>
        <v>64</v>
      </c>
    </row>
    <row r="26" spans="3:8" x14ac:dyDescent="0.25">
      <c r="C26" s="10">
        <v>16</v>
      </c>
      <c r="D26" s="10">
        <v>3</v>
      </c>
      <c r="E26" s="10">
        <v>1</v>
      </c>
      <c r="F26" s="10">
        <v>3</v>
      </c>
      <c r="H26">
        <f t="shared" si="0"/>
        <v>8</v>
      </c>
    </row>
    <row r="27" spans="3:8" x14ac:dyDescent="0.25">
      <c r="C27" s="10">
        <v>17</v>
      </c>
      <c r="D27" s="10">
        <v>1</v>
      </c>
      <c r="E27" s="10">
        <v>2</v>
      </c>
      <c r="F27" s="10">
        <v>3</v>
      </c>
      <c r="H27">
        <f t="shared" si="0"/>
        <v>27</v>
      </c>
    </row>
    <row r="28" spans="3:8" x14ac:dyDescent="0.25">
      <c r="C28" s="10">
        <v>18</v>
      </c>
      <c r="D28" s="10">
        <v>2</v>
      </c>
      <c r="E28" s="10">
        <v>3</v>
      </c>
      <c r="F28" s="10">
        <v>3</v>
      </c>
      <c r="H28">
        <f t="shared" si="0"/>
        <v>64</v>
      </c>
    </row>
    <row r="29" spans="3:8" x14ac:dyDescent="0.25">
      <c r="C29" s="10">
        <v>19</v>
      </c>
      <c r="D29" s="10">
        <v>1</v>
      </c>
      <c r="E29" s="10">
        <v>1</v>
      </c>
      <c r="F29" s="10">
        <v>3</v>
      </c>
      <c r="H29">
        <f t="shared" si="0"/>
        <v>8</v>
      </c>
    </row>
    <row r="30" spans="3:8" x14ac:dyDescent="0.25">
      <c r="C30" s="10">
        <v>20</v>
      </c>
      <c r="D30" s="10">
        <v>2</v>
      </c>
      <c r="E30" s="10">
        <v>2</v>
      </c>
      <c r="F30" s="10">
        <v>3</v>
      </c>
      <c r="H30">
        <f t="shared" si="0"/>
        <v>27</v>
      </c>
    </row>
    <row r="31" spans="3:8" x14ac:dyDescent="0.25">
      <c r="C31" s="10">
        <v>21</v>
      </c>
      <c r="D31" s="10">
        <v>2</v>
      </c>
      <c r="E31" s="10">
        <v>3</v>
      </c>
      <c r="F31" s="10">
        <v>3</v>
      </c>
      <c r="H31">
        <f t="shared" si="0"/>
        <v>64</v>
      </c>
    </row>
    <row r="32" spans="3:8" x14ac:dyDescent="0.25">
      <c r="C32" s="10">
        <v>1</v>
      </c>
      <c r="D32" s="10">
        <v>2</v>
      </c>
      <c r="E32" s="10">
        <v>1</v>
      </c>
      <c r="F32" s="10">
        <v>1</v>
      </c>
      <c r="H32">
        <f t="shared" si="0"/>
        <v>2</v>
      </c>
    </row>
    <row r="33" spans="3:15" x14ac:dyDescent="0.25">
      <c r="C33" s="10">
        <v>2</v>
      </c>
      <c r="D33" s="10">
        <v>3</v>
      </c>
      <c r="E33" s="10">
        <v>2</v>
      </c>
      <c r="F33" s="10">
        <v>1</v>
      </c>
      <c r="H33">
        <f t="shared" si="0"/>
        <v>3</v>
      </c>
    </row>
    <row r="34" spans="3:15" x14ac:dyDescent="0.25">
      <c r="C34" s="10">
        <v>3</v>
      </c>
      <c r="D34" s="10">
        <v>1</v>
      </c>
      <c r="E34" s="10">
        <v>3</v>
      </c>
      <c r="F34" s="10">
        <v>1</v>
      </c>
      <c r="H34">
        <f t="shared" si="0"/>
        <v>4</v>
      </c>
      <c r="K34" t="s">
        <v>56</v>
      </c>
    </row>
    <row r="35" spans="3:15" x14ac:dyDescent="0.25">
      <c r="C35" s="10">
        <v>4</v>
      </c>
      <c r="D35" s="10">
        <v>3</v>
      </c>
      <c r="E35" s="10">
        <v>1</v>
      </c>
      <c r="F35" s="10">
        <v>1</v>
      </c>
      <c r="H35">
        <f t="shared" si="0"/>
        <v>2</v>
      </c>
      <c r="K35" s="1">
        <v>4.3055555555555555E-2</v>
      </c>
      <c r="L35" s="1">
        <v>4.3749999999999997E-2</v>
      </c>
      <c r="M35" s="1">
        <v>8.5416666666666669E-2</v>
      </c>
      <c r="N35" t="s">
        <v>57</v>
      </c>
      <c r="O35">
        <f>CORREL(C11:C73,E11:E73)</f>
        <v>0.1348399724926484</v>
      </c>
    </row>
    <row r="36" spans="3:15" x14ac:dyDescent="0.25">
      <c r="C36" s="10">
        <v>5</v>
      </c>
      <c r="D36" s="10">
        <v>1</v>
      </c>
      <c r="E36" s="10">
        <v>2</v>
      </c>
      <c r="F36" s="10">
        <v>1</v>
      </c>
      <c r="H36">
        <f t="shared" si="0"/>
        <v>3</v>
      </c>
      <c r="K36">
        <f>CORREL(D11:D73,E11:E73)</f>
        <v>0</v>
      </c>
      <c r="L36">
        <f>CORREL(D11:D73,F11:F73)</f>
        <v>0</v>
      </c>
      <c r="M36">
        <f>CORREL(F11:F73,E11:E73)</f>
        <v>0.14285714285714285</v>
      </c>
      <c r="N36">
        <f>CORREL(D11:D73,H11:H73)</f>
        <v>0</v>
      </c>
    </row>
    <row r="37" spans="3:15" x14ac:dyDescent="0.25">
      <c r="C37" s="10">
        <v>6</v>
      </c>
      <c r="D37" s="10">
        <v>2</v>
      </c>
      <c r="E37" s="10">
        <v>3</v>
      </c>
      <c r="F37" s="10">
        <v>1</v>
      </c>
      <c r="H37">
        <f t="shared" si="0"/>
        <v>4</v>
      </c>
    </row>
    <row r="38" spans="3:15" x14ac:dyDescent="0.25">
      <c r="C38" s="10">
        <v>7</v>
      </c>
      <c r="D38" s="10">
        <v>1</v>
      </c>
      <c r="E38" s="10">
        <v>1</v>
      </c>
      <c r="F38" s="10">
        <v>1</v>
      </c>
      <c r="H38">
        <f t="shared" si="0"/>
        <v>2</v>
      </c>
      <c r="K38" t="s">
        <v>58</v>
      </c>
    </row>
    <row r="39" spans="3:15" x14ac:dyDescent="0.25">
      <c r="C39" s="10">
        <v>8</v>
      </c>
      <c r="D39" s="10">
        <v>2</v>
      </c>
      <c r="E39" s="10">
        <v>2</v>
      </c>
      <c r="F39" s="10">
        <v>2</v>
      </c>
      <c r="H39">
        <f t="shared" si="0"/>
        <v>9</v>
      </c>
      <c r="K39" t="s">
        <v>59</v>
      </c>
    </row>
    <row r="40" spans="3:15" x14ac:dyDescent="0.25">
      <c r="C40" s="10">
        <v>9</v>
      </c>
      <c r="D40" s="10">
        <v>3</v>
      </c>
      <c r="E40" s="10">
        <v>3</v>
      </c>
      <c r="F40" s="10">
        <v>2</v>
      </c>
      <c r="H40">
        <f t="shared" si="0"/>
        <v>16</v>
      </c>
      <c r="K40" t="s">
        <v>60</v>
      </c>
    </row>
    <row r="41" spans="3:15" x14ac:dyDescent="0.25">
      <c r="C41" s="10">
        <v>10</v>
      </c>
      <c r="D41" s="10">
        <v>2</v>
      </c>
      <c r="E41" s="10">
        <v>1</v>
      </c>
      <c r="F41" s="10">
        <v>2</v>
      </c>
      <c r="H41">
        <f t="shared" si="0"/>
        <v>4</v>
      </c>
      <c r="K41" t="s">
        <v>61</v>
      </c>
    </row>
    <row r="42" spans="3:15" x14ac:dyDescent="0.25">
      <c r="C42" s="10">
        <v>11</v>
      </c>
      <c r="D42" s="10">
        <v>3</v>
      </c>
      <c r="E42" s="10">
        <v>2</v>
      </c>
      <c r="F42" s="10">
        <v>2</v>
      </c>
      <c r="H42">
        <f t="shared" si="0"/>
        <v>9</v>
      </c>
      <c r="K42" t="s">
        <v>62</v>
      </c>
    </row>
    <row r="43" spans="3:15" x14ac:dyDescent="0.25">
      <c r="C43" s="10">
        <v>12</v>
      </c>
      <c r="D43" s="10">
        <v>1</v>
      </c>
      <c r="E43" s="10">
        <v>3</v>
      </c>
      <c r="F43" s="10">
        <v>2</v>
      </c>
      <c r="H43">
        <f t="shared" si="0"/>
        <v>16</v>
      </c>
      <c r="K43" t="s">
        <v>63</v>
      </c>
    </row>
    <row r="44" spans="3:15" x14ac:dyDescent="0.25">
      <c r="C44" s="10">
        <v>13</v>
      </c>
      <c r="D44" s="10">
        <v>3</v>
      </c>
      <c r="E44" s="10">
        <v>1</v>
      </c>
      <c r="F44" s="10">
        <v>2</v>
      </c>
      <c r="H44">
        <f t="shared" si="0"/>
        <v>4</v>
      </c>
      <c r="K44" t="s">
        <v>64</v>
      </c>
    </row>
    <row r="45" spans="3:15" x14ac:dyDescent="0.25">
      <c r="C45" s="10">
        <v>14</v>
      </c>
      <c r="D45" s="10">
        <v>1</v>
      </c>
      <c r="E45" s="10">
        <v>2</v>
      </c>
      <c r="F45" s="10">
        <v>2</v>
      </c>
      <c r="H45">
        <f t="shared" si="0"/>
        <v>9</v>
      </c>
      <c r="K45" t="s">
        <v>65</v>
      </c>
    </row>
    <row r="46" spans="3:15" x14ac:dyDescent="0.25">
      <c r="C46" s="10">
        <v>15</v>
      </c>
      <c r="D46" s="10">
        <v>2</v>
      </c>
      <c r="E46" s="10">
        <v>3</v>
      </c>
      <c r="F46" s="10">
        <v>3</v>
      </c>
      <c r="H46">
        <f t="shared" si="0"/>
        <v>64</v>
      </c>
    </row>
    <row r="47" spans="3:15" x14ac:dyDescent="0.25">
      <c r="C47" s="10">
        <v>16</v>
      </c>
      <c r="D47" s="10">
        <v>1</v>
      </c>
      <c r="E47" s="10">
        <v>1</v>
      </c>
      <c r="F47" s="10">
        <v>3</v>
      </c>
      <c r="H47">
        <f t="shared" si="0"/>
        <v>8</v>
      </c>
    </row>
    <row r="48" spans="3:15" x14ac:dyDescent="0.25">
      <c r="C48" s="10">
        <v>17</v>
      </c>
      <c r="D48" s="10">
        <v>2</v>
      </c>
      <c r="E48" s="10">
        <v>2</v>
      </c>
      <c r="F48" s="10">
        <v>3</v>
      </c>
      <c r="H48">
        <f t="shared" si="0"/>
        <v>27</v>
      </c>
      <c r="K48" t="s">
        <v>66</v>
      </c>
    </row>
    <row r="49" spans="3:13" x14ac:dyDescent="0.25">
      <c r="C49" s="10">
        <v>18</v>
      </c>
      <c r="D49" s="10">
        <v>3</v>
      </c>
      <c r="E49" s="10">
        <v>3</v>
      </c>
      <c r="F49" s="10">
        <v>3</v>
      </c>
      <c r="H49">
        <f t="shared" si="0"/>
        <v>64</v>
      </c>
      <c r="K49" t="s">
        <v>67</v>
      </c>
    </row>
    <row r="50" spans="3:13" x14ac:dyDescent="0.25">
      <c r="C50" s="10">
        <v>19</v>
      </c>
      <c r="D50" s="10">
        <v>2</v>
      </c>
      <c r="E50" s="10">
        <v>1</v>
      </c>
      <c r="F50" s="10">
        <v>3</v>
      </c>
      <c r="H50">
        <f t="shared" si="0"/>
        <v>8</v>
      </c>
      <c r="K50" t="s">
        <v>68</v>
      </c>
    </row>
    <row r="51" spans="3:13" x14ac:dyDescent="0.25">
      <c r="C51" s="10">
        <v>20</v>
      </c>
      <c r="D51" s="10">
        <v>3</v>
      </c>
      <c r="E51" s="10">
        <v>2</v>
      </c>
      <c r="F51" s="10">
        <v>3</v>
      </c>
      <c r="H51">
        <f t="shared" si="0"/>
        <v>27</v>
      </c>
      <c r="K51" t="s">
        <v>69</v>
      </c>
    </row>
    <row r="52" spans="3:13" x14ac:dyDescent="0.25">
      <c r="C52" s="10">
        <v>21</v>
      </c>
      <c r="D52" s="10">
        <v>3</v>
      </c>
      <c r="E52" s="10">
        <v>3</v>
      </c>
      <c r="F52" s="10">
        <v>3</v>
      </c>
      <c r="H52">
        <f t="shared" si="0"/>
        <v>64</v>
      </c>
      <c r="K52" t="s">
        <v>70</v>
      </c>
    </row>
    <row r="53" spans="3:13" x14ac:dyDescent="0.25">
      <c r="C53" s="10">
        <v>1</v>
      </c>
      <c r="D53" s="10">
        <v>3</v>
      </c>
      <c r="E53" s="10">
        <v>1</v>
      </c>
      <c r="F53" s="10">
        <v>1</v>
      </c>
      <c r="H53">
        <f t="shared" si="0"/>
        <v>2</v>
      </c>
    </row>
    <row r="54" spans="3:13" x14ac:dyDescent="0.25">
      <c r="C54" s="10">
        <v>2</v>
      </c>
      <c r="D54" s="10">
        <v>1</v>
      </c>
      <c r="E54" s="10">
        <v>2</v>
      </c>
      <c r="F54" s="10">
        <v>1</v>
      </c>
      <c r="H54">
        <f t="shared" si="0"/>
        <v>3</v>
      </c>
    </row>
    <row r="55" spans="3:13" x14ac:dyDescent="0.25">
      <c r="C55" s="10">
        <v>3</v>
      </c>
      <c r="D55" s="10">
        <v>2</v>
      </c>
      <c r="E55" s="10">
        <v>3</v>
      </c>
      <c r="F55" s="10">
        <v>1</v>
      </c>
      <c r="H55">
        <f t="shared" si="0"/>
        <v>4</v>
      </c>
    </row>
    <row r="56" spans="3:13" x14ac:dyDescent="0.25">
      <c r="C56" s="10">
        <v>4</v>
      </c>
      <c r="D56" s="10">
        <v>1</v>
      </c>
      <c r="E56" s="10">
        <v>1</v>
      </c>
      <c r="F56" s="10">
        <v>1</v>
      </c>
      <c r="H56">
        <f t="shared" si="0"/>
        <v>2</v>
      </c>
      <c r="L56" t="s">
        <v>71</v>
      </c>
      <c r="M56" t="s">
        <v>6</v>
      </c>
    </row>
    <row r="57" spans="3:13" x14ac:dyDescent="0.25">
      <c r="C57" s="10">
        <v>5</v>
      </c>
      <c r="D57" s="10">
        <v>2</v>
      </c>
      <c r="E57" s="10">
        <v>2</v>
      </c>
      <c r="F57" s="10">
        <v>1</v>
      </c>
      <c r="H57">
        <f t="shared" si="0"/>
        <v>3</v>
      </c>
      <c r="K57">
        <v>1</v>
      </c>
      <c r="L57" t="s">
        <v>72</v>
      </c>
      <c r="M57">
        <v>1</v>
      </c>
    </row>
    <row r="58" spans="3:13" x14ac:dyDescent="0.25">
      <c r="C58" s="10">
        <v>6</v>
      </c>
      <c r="D58" s="10">
        <v>3</v>
      </c>
      <c r="E58" s="10">
        <v>3</v>
      </c>
      <c r="F58" s="10">
        <v>1</v>
      </c>
      <c r="H58">
        <f t="shared" si="0"/>
        <v>4</v>
      </c>
      <c r="K58">
        <v>2</v>
      </c>
      <c r="L58" t="s">
        <v>73</v>
      </c>
      <c r="M58">
        <v>3</v>
      </c>
    </row>
    <row r="59" spans="3:13" x14ac:dyDescent="0.25">
      <c r="C59" s="10">
        <v>7</v>
      </c>
      <c r="D59" s="10">
        <v>2</v>
      </c>
      <c r="E59" s="10">
        <v>1</v>
      </c>
      <c r="F59" s="10">
        <v>1</v>
      </c>
      <c r="H59">
        <f t="shared" si="0"/>
        <v>2</v>
      </c>
      <c r="K59">
        <v>3</v>
      </c>
      <c r="L59" t="s">
        <v>74</v>
      </c>
      <c r="M59">
        <v>3</v>
      </c>
    </row>
    <row r="60" spans="3:13" x14ac:dyDescent="0.25">
      <c r="C60" s="10">
        <v>8</v>
      </c>
      <c r="D60" s="10">
        <v>3</v>
      </c>
      <c r="E60" s="10">
        <v>2</v>
      </c>
      <c r="F60" s="10">
        <v>2</v>
      </c>
      <c r="H60">
        <f t="shared" si="0"/>
        <v>9</v>
      </c>
      <c r="K60">
        <v>4</v>
      </c>
    </row>
    <row r="61" spans="3:13" x14ac:dyDescent="0.25">
      <c r="C61" s="10">
        <v>9</v>
      </c>
      <c r="D61" s="10">
        <v>1</v>
      </c>
      <c r="E61" s="10">
        <v>3</v>
      </c>
      <c r="F61" s="10">
        <v>2</v>
      </c>
      <c r="H61">
        <f t="shared" si="0"/>
        <v>16</v>
      </c>
      <c r="K61">
        <v>5</v>
      </c>
    </row>
    <row r="62" spans="3:13" x14ac:dyDescent="0.25">
      <c r="C62" s="10">
        <v>10</v>
      </c>
      <c r="D62" s="10">
        <v>3</v>
      </c>
      <c r="E62" s="10">
        <v>1</v>
      </c>
      <c r="F62" s="10">
        <v>2</v>
      </c>
      <c r="H62">
        <f t="shared" si="0"/>
        <v>4</v>
      </c>
      <c r="K62">
        <v>6</v>
      </c>
    </row>
    <row r="63" spans="3:13" x14ac:dyDescent="0.25">
      <c r="C63" s="10">
        <v>11</v>
      </c>
      <c r="D63" s="10">
        <v>1</v>
      </c>
      <c r="E63" s="10">
        <v>2</v>
      </c>
      <c r="F63" s="10">
        <v>2</v>
      </c>
      <c r="H63">
        <f t="shared" si="0"/>
        <v>9</v>
      </c>
      <c r="K63">
        <v>7</v>
      </c>
    </row>
    <row r="64" spans="3:13" x14ac:dyDescent="0.25">
      <c r="C64" s="10">
        <v>12</v>
      </c>
      <c r="D64" s="10">
        <v>2</v>
      </c>
      <c r="E64" s="10">
        <v>3</v>
      </c>
      <c r="F64" s="10">
        <v>2</v>
      </c>
      <c r="H64">
        <f t="shared" si="0"/>
        <v>16</v>
      </c>
      <c r="K64">
        <v>8</v>
      </c>
    </row>
    <row r="65" spans="3:11" x14ac:dyDescent="0.25">
      <c r="C65" s="10">
        <v>13</v>
      </c>
      <c r="D65" s="10">
        <v>1</v>
      </c>
      <c r="E65" s="10">
        <v>1</v>
      </c>
      <c r="F65" s="10">
        <v>2</v>
      </c>
      <c r="H65">
        <f t="shared" si="0"/>
        <v>4</v>
      </c>
      <c r="K65">
        <v>9</v>
      </c>
    </row>
    <row r="66" spans="3:11" x14ac:dyDescent="0.25">
      <c r="C66" s="10">
        <v>14</v>
      </c>
      <c r="D66" s="10">
        <v>2</v>
      </c>
      <c r="E66" s="10">
        <v>2</v>
      </c>
      <c r="F66" s="10">
        <v>2</v>
      </c>
      <c r="H66">
        <f t="shared" si="0"/>
        <v>9</v>
      </c>
      <c r="K66">
        <v>10</v>
      </c>
    </row>
    <row r="67" spans="3:11" x14ac:dyDescent="0.25">
      <c r="C67" s="10">
        <v>15</v>
      </c>
      <c r="D67" s="10">
        <v>3</v>
      </c>
      <c r="E67" s="10">
        <v>3</v>
      </c>
      <c r="F67" s="10">
        <v>3</v>
      </c>
      <c r="H67">
        <f t="shared" si="0"/>
        <v>64</v>
      </c>
      <c r="K67">
        <v>11</v>
      </c>
    </row>
    <row r="68" spans="3:11" x14ac:dyDescent="0.25">
      <c r="C68" s="10">
        <v>16</v>
      </c>
      <c r="D68" s="10">
        <v>2</v>
      </c>
      <c r="E68" s="10">
        <v>1</v>
      </c>
      <c r="F68" s="10">
        <v>3</v>
      </c>
      <c r="H68">
        <f t="shared" si="0"/>
        <v>8</v>
      </c>
      <c r="K68">
        <v>12</v>
      </c>
    </row>
    <row r="69" spans="3:11" x14ac:dyDescent="0.25">
      <c r="C69" s="10">
        <v>17</v>
      </c>
      <c r="D69" s="10">
        <v>3</v>
      </c>
      <c r="E69" s="10">
        <v>2</v>
      </c>
      <c r="F69" s="10">
        <v>3</v>
      </c>
      <c r="H69">
        <f t="shared" si="0"/>
        <v>27</v>
      </c>
      <c r="K69">
        <v>13</v>
      </c>
    </row>
    <row r="70" spans="3:11" x14ac:dyDescent="0.25">
      <c r="C70" s="10">
        <v>18</v>
      </c>
      <c r="D70" s="10">
        <v>1</v>
      </c>
      <c r="E70" s="10">
        <v>3</v>
      </c>
      <c r="F70" s="10">
        <v>3</v>
      </c>
      <c r="H70">
        <f t="shared" si="0"/>
        <v>64</v>
      </c>
      <c r="K70">
        <v>14</v>
      </c>
    </row>
    <row r="71" spans="3:11" x14ac:dyDescent="0.25">
      <c r="C71" s="10">
        <v>19</v>
      </c>
      <c r="D71" s="10">
        <v>3</v>
      </c>
      <c r="E71" s="10">
        <v>1</v>
      </c>
      <c r="F71" s="10">
        <v>3</v>
      </c>
      <c r="H71">
        <f t="shared" si="0"/>
        <v>8</v>
      </c>
      <c r="K71">
        <v>15</v>
      </c>
    </row>
    <row r="72" spans="3:11" x14ac:dyDescent="0.25">
      <c r="C72" s="10">
        <v>20</v>
      </c>
      <c r="D72" s="10">
        <v>1</v>
      </c>
      <c r="E72" s="10">
        <v>2</v>
      </c>
      <c r="F72" s="10">
        <v>3</v>
      </c>
      <c r="H72">
        <f t="shared" si="0"/>
        <v>27</v>
      </c>
      <c r="K72">
        <v>16</v>
      </c>
    </row>
    <row r="73" spans="3:11" x14ac:dyDescent="0.25">
      <c r="C73" s="10">
        <v>21</v>
      </c>
      <c r="D73" s="10">
        <v>1</v>
      </c>
      <c r="E73" s="10">
        <v>3</v>
      </c>
      <c r="F73" s="10">
        <v>3</v>
      </c>
      <c r="H73">
        <f t="shared" si="0"/>
        <v>64</v>
      </c>
      <c r="K73">
        <v>17</v>
      </c>
    </row>
    <row r="74" spans="3:11" x14ac:dyDescent="0.25">
      <c r="K74">
        <v>18</v>
      </c>
    </row>
    <row r="75" spans="3:11" x14ac:dyDescent="0.25">
      <c r="K75">
        <v>19</v>
      </c>
    </row>
    <row r="76" spans="3:11" x14ac:dyDescent="0.25">
      <c r="K76">
        <v>20</v>
      </c>
    </row>
    <row r="77" spans="3:11" x14ac:dyDescent="0.25">
      <c r="K77">
        <v>21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07A1FFD900984DA43D6BF4AF7BE639" ma:contentTypeVersion="3" ma:contentTypeDescription="Ein neues Dokument erstellen." ma:contentTypeScope="" ma:versionID="82a7a6aab175811d53c50c6095ba9899">
  <xsd:schema xmlns:xsd="http://www.w3.org/2001/XMLSchema" xmlns:xs="http://www.w3.org/2001/XMLSchema" xmlns:p="http://schemas.microsoft.com/office/2006/metadata/properties" xmlns:ns2="418a5de5-9fd6-4eb7-9ae8-c174d6a3ca44" targetNamespace="http://schemas.microsoft.com/office/2006/metadata/properties" ma:root="true" ma:fieldsID="267367cbe5ea6f9eb0df44a21305574c" ns2:_="">
    <xsd:import namespace="418a5de5-9fd6-4eb7-9ae8-c174d6a3c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a5de5-9fd6-4eb7-9ae8-c174d6a3ca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BB0E36-C83F-433A-89E2-B86DF40F23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FE76C1-CDC6-4436-908E-D0E0AC21015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2B8C8A5-5A5B-489F-B271-2734D641A2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8a5de5-9fd6-4eb7-9ae8-c174d6a3c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Experiment Data</vt:lpstr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Amar Latifi</dc:creator>
  <cp:keywords/>
  <dc:description/>
  <cp:lastModifiedBy>Amar Latifi</cp:lastModifiedBy>
  <cp:revision/>
  <dcterms:created xsi:type="dcterms:W3CDTF">2026-02-16T10:37:17Z</dcterms:created>
  <dcterms:modified xsi:type="dcterms:W3CDTF">2026-02-26T15:48:13Z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0x010100D707A1FFD900984DA43D6BF4AF7BE639</vt:lpwstr>
  </property>
</Properties>
</file>